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imelineCaches/timelineCache1.xml" ContentType="application/vnd.ms-excel.timelineCache+xml"/>
  <Override PartName="/xl/timelineCaches/timelineCache2.xml" ContentType="application/vnd.ms-excel.timeline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timelines/timeline1.xml" ContentType="application/vnd.ms-excel.timelin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5.xml" ContentType="application/vnd.openxmlformats-officedocument.spreadsheetml.pivotTable+xml"/>
  <Override PartName="/xl/drawings/drawing4.xml" ContentType="application/vnd.openxmlformats-officedocument.drawing+xml"/>
  <Override PartName="/xl/slicers/slicer1.xml" ContentType="application/vnd.ms-excel.slicer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6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7.xml" ContentType="application/vnd.openxmlformats-officedocument.spreadsheetml.pivotTable+xml"/>
  <Override PartName="/xl/drawings/drawing6.xml" ContentType="application/vnd.openxmlformats-officedocument.drawing+xml"/>
  <Override PartName="/xl/timelines/timeline2.xml" ContentType="application/vnd.ms-excel.timelin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/>
  <mc:AlternateContent xmlns:mc="http://schemas.openxmlformats.org/markup-compatibility/2006">
    <mc:Choice Requires="x15">
      <x15ac:absPath xmlns:x15ac="http://schemas.microsoft.com/office/spreadsheetml/2010/11/ac" url="C:\Users\caces\Downloads\"/>
    </mc:Choice>
  </mc:AlternateContent>
  <xr:revisionPtr revIDLastSave="0" documentId="13_ncr:1_{CBC2002F-9EFE-42AB-B63D-95F6785935A7}" xr6:coauthVersionLast="47" xr6:coauthVersionMax="47" xr10:uidLastSave="{00000000-0000-0000-0000-000000000000}"/>
  <bookViews>
    <workbookView xWindow="-120" yWindow="-120" windowWidth="20730" windowHeight="11040" activeTab="3" xr2:uid="{00000000-000D-0000-FFFF-FFFF00000000}"/>
  </bookViews>
  <sheets>
    <sheet name="Venda x meta" sheetId="19" r:id="rId1"/>
    <sheet name="Desconto" sheetId="18" r:id="rId2"/>
    <sheet name="Top 20 itens" sheetId="17" r:id="rId3"/>
    <sheet name="Categoria" sheetId="13" r:id="rId4"/>
    <sheet name="Vendedores" sheetId="14" r:id="rId5"/>
    <sheet name="Loja" sheetId="16" r:id="rId6"/>
    <sheet name="Venda por vendedor" sheetId="15" r:id="rId7"/>
    <sheet name="Dados brutos" sheetId="1" r:id="rId8"/>
    <sheet name="Dados limpos" sheetId="4" r:id="rId9"/>
    <sheet name="Metas_2024" sheetId="2" r:id="rId10"/>
  </sheets>
  <definedNames>
    <definedName name="DadosExternos_1" localSheetId="8" hidden="1">'Dados limpos'!$A$1:$P$301</definedName>
    <definedName name="NativeTimeline_Mês_Ano">#N/A</definedName>
    <definedName name="NativeTimeline_Mês_Ano1">#N/A</definedName>
    <definedName name="SegmentaçãodeDados_Meses">#N/A</definedName>
  </definedNames>
  <calcPr calcId="191029"/>
  <pivotCaches>
    <pivotCache cacheId="0" r:id="rId11"/>
  </pivotCaches>
  <extLst>
    <ext xmlns:x14="http://schemas.microsoft.com/office/spreadsheetml/2009/9/main" uri="{BBE1A952-AA13-448e-AADC-164F8A28A991}">
      <x14:slicerCaches>
        <x14:slicerCache r:id="rId12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13"/>
        <x15:timelineCacheRef r:id="rId14"/>
      </x15:timelineCacheRef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4" i="19" l="1"/>
  <c r="H5" i="19"/>
  <c r="H6" i="19"/>
  <c r="H7" i="19"/>
  <c r="H8" i="19"/>
  <c r="H9" i="19"/>
  <c r="H10" i="19"/>
  <c r="H11" i="19"/>
  <c r="H12" i="19"/>
  <c r="H13" i="19"/>
  <c r="H14" i="19"/>
  <c r="H3" i="19"/>
  <c r="G3" i="19" a="1"/>
  <c r="G3" i="19" s="1"/>
  <c r="I14" i="2"/>
  <c r="I13" i="2"/>
  <c r="I12" i="2"/>
  <c r="I11" i="2"/>
  <c r="I10" i="2"/>
  <c r="I9" i="2"/>
  <c r="I8" i="2"/>
  <c r="I7" i="2"/>
  <c r="I6" i="2"/>
  <c r="I5" i="2"/>
  <c r="I4" i="2"/>
  <c r="I3" i="2"/>
  <c r="F4" i="2"/>
  <c r="F5" i="2"/>
  <c r="F6" i="2"/>
  <c r="F7" i="2"/>
  <c r="F8" i="2"/>
  <c r="F9" i="2"/>
  <c r="F10" i="2"/>
  <c r="F11" i="2"/>
  <c r="F12" i="2"/>
  <c r="F13" i="2"/>
  <c r="F14" i="2"/>
  <c r="F3" i="2"/>
  <c r="C15" i="2"/>
  <c r="D15" i="2"/>
  <c r="E15" i="2"/>
  <c r="G15" i="19" l="1"/>
  <c r="F15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2FFABED-FB4A-44C3-AE06-83B4F79ECD37}" keepAlive="1" name="Consulta - Tabela1" description="Conexão com a consulta 'Tabela1' na pasta de trabalho." type="5" refreshedVersion="7" background="1" saveData="1">
    <dbPr connection="Provider=Microsoft.Mashup.OleDb.1;Data Source=$Workbook$;Location=Tabela1;Extended Properties=&quot;&quot;" command="SELECT * FROM [Tabela1]"/>
  </connection>
  <connection id="2" xr16:uid="{5B4C57BE-9AE1-449B-8285-A24467FAD74C}" keepAlive="1" name="Consulta - Tabela1_2" description="Conexão com a consulta 'Tabela1_2' na pasta de trabalho." type="5" refreshedVersion="0" background="1">
    <dbPr connection="Provider=Microsoft.Mashup.OleDb.1;Data Source=$Workbook$;Location=Tabela1_2;Extended Properties=&quot;&quot;" command="SELECT * FROM [Tabela1_2]"/>
  </connection>
  <connection id="3" xr16:uid="{3110E2A0-B428-4A22-9342-E0B06AB84424}" keepAlive="1" name="Consulta - Tabela1_2 (2)" description="Conexão com a consulta 'Tabela1_2 (2)' na pasta de trabalho." type="5" refreshedVersion="7" background="1" saveData="1">
    <dbPr connection="Provider=Microsoft.Mashup.OleDb.1;Data Source=$Workbook$;Location=&quot;Tabela1_2 (2)&quot;;Extended Properties=&quot;&quot;" command="SELECT * FROM [Tabela1_2 (2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<sst xmlns="http://schemas.openxmlformats.org/spreadsheetml/2006/main" count="4379" uniqueCount="400">
  <si>
    <t>ID</t>
  </si>
  <si>
    <t>Data</t>
  </si>
  <si>
    <t>Produto</t>
  </si>
  <si>
    <t>Categoria</t>
  </si>
  <si>
    <t>Gramagem</t>
  </si>
  <si>
    <t>Quantidade</t>
  </si>
  <si>
    <t>Preço_Unit (R$)</t>
  </si>
  <si>
    <t>Desconto (R$)</t>
  </si>
  <si>
    <t>Total (R$)</t>
  </si>
  <si>
    <t>Vendedor</t>
  </si>
  <si>
    <t>Loja</t>
  </si>
  <si>
    <t>Mês/Ano</t>
  </si>
  <si>
    <t>Mês_Num</t>
  </si>
  <si>
    <t>Ano</t>
  </si>
  <si>
    <t>01/01/2024</t>
  </si>
  <si>
    <t>Esponja Scotch-Brite</t>
  </si>
  <si>
    <t>Limpeza</t>
  </si>
  <si>
    <t>un</t>
  </si>
  <si>
    <t>João Souza</t>
  </si>
  <si>
    <t>Loja Norte</t>
  </si>
  <si>
    <t>January/2024</t>
  </si>
  <si>
    <t>01/10/2024</t>
  </si>
  <si>
    <t>Sal Refinado Cisne</t>
  </si>
  <si>
    <t>Mercearia</t>
  </si>
  <si>
    <t>1kg</t>
  </si>
  <si>
    <t>Ana Silva</t>
  </si>
  <si>
    <t>Loja Sul</t>
  </si>
  <si>
    <t>October/2024</t>
  </si>
  <si>
    <t>Suco Del Valle</t>
  </si>
  <si>
    <t>Bebidas</t>
  </si>
  <si>
    <t>1L</t>
  </si>
  <si>
    <t>Maria Costa</t>
  </si>
  <si>
    <t>Loja Centro</t>
  </si>
  <si>
    <t>01/12/2024</t>
  </si>
  <si>
    <t>Condicionador Seda</t>
  </si>
  <si>
    <t>Higiene</t>
  </si>
  <si>
    <t>325ml</t>
  </si>
  <si>
    <t>December/2024</t>
  </si>
  <si>
    <t>02/02/2024</t>
  </si>
  <si>
    <t>Amaciante Comfort</t>
  </si>
  <si>
    <t>Fernanda Dias</t>
  </si>
  <si>
    <t>February/2024</t>
  </si>
  <si>
    <t>02/03/2024</t>
  </si>
  <si>
    <t>Arroz Tio João</t>
  </si>
  <si>
    <t>5kg</t>
  </si>
  <si>
    <t>Carlos Lima</t>
  </si>
  <si>
    <t>March/2024</t>
  </si>
  <si>
    <t>02/05/2024</t>
  </si>
  <si>
    <t>Café Pilão</t>
  </si>
  <si>
    <t>500g</t>
  </si>
  <si>
    <t>Pedro Rocha</t>
  </si>
  <si>
    <t>May/2024</t>
  </si>
  <si>
    <t>02/06/2024</t>
  </si>
  <si>
    <t>June/2024</t>
  </si>
  <si>
    <t>02/08/2024</t>
  </si>
  <si>
    <t>Frango Inteiro Sadia</t>
  </si>
  <si>
    <t>Açougue</t>
  </si>
  <si>
    <t>kg</t>
  </si>
  <si>
    <t>August/2024</t>
  </si>
  <si>
    <t>02/10/2024</t>
  </si>
  <si>
    <t>Manteiga Aviação</t>
  </si>
  <si>
    <t>Laticínios</t>
  </si>
  <si>
    <t>200g</t>
  </si>
  <si>
    <t>02/11/2024</t>
  </si>
  <si>
    <t>Feijão Preto Camil</t>
  </si>
  <si>
    <t>November/2024</t>
  </si>
  <si>
    <t>02/12/2024</t>
  </si>
  <si>
    <t>Pão de Forma Wickbold</t>
  </si>
  <si>
    <t>Padaria</t>
  </si>
  <si>
    <t>03/04/2024</t>
  </si>
  <si>
    <t>Carne Moída</t>
  </si>
  <si>
    <t>April/2024</t>
  </si>
  <si>
    <t>03/05/2024</t>
  </si>
  <si>
    <t>Alface Crespa</t>
  </si>
  <si>
    <t>FLV</t>
  </si>
  <si>
    <t>03/06/2024</t>
  </si>
  <si>
    <t>03/08/2024</t>
  </si>
  <si>
    <t>Banana Prata</t>
  </si>
  <si>
    <t>03/10/2024</t>
  </si>
  <si>
    <t>Cerveja Heineken Long Neck</t>
  </si>
  <si>
    <t>330ml</t>
  </si>
  <si>
    <t>03/12/2024</t>
  </si>
  <si>
    <t>Shampoo Seda</t>
  </si>
  <si>
    <t>04/03/2024</t>
  </si>
  <si>
    <t>04/06/2024</t>
  </si>
  <si>
    <t>Óleo de Soja Liza</t>
  </si>
  <si>
    <t>900ml</t>
  </si>
  <si>
    <t>04/07/2024</t>
  </si>
  <si>
    <t>Linguiça Toscana</t>
  </si>
  <si>
    <t>July/2024</t>
  </si>
  <si>
    <t>04/08/2024</t>
  </si>
  <si>
    <t>Leite Desnatado Italac</t>
  </si>
  <si>
    <t>05/01/2024</t>
  </si>
  <si>
    <t>05/02/2024</t>
  </si>
  <si>
    <t>Papel Higiênico Neve</t>
  </si>
  <si>
    <t>pacote</t>
  </si>
  <si>
    <t>Requeijão Catupiry</t>
  </si>
  <si>
    <t>05/03/2024</t>
  </si>
  <si>
    <t>05/05/2024</t>
  </si>
  <si>
    <t>05/07/2024</t>
  </si>
  <si>
    <t>Biscoito Oreo</t>
  </si>
  <si>
    <t>144g</t>
  </si>
  <si>
    <t>05/08/2024</t>
  </si>
  <si>
    <t>Fralda Pampers</t>
  </si>
  <si>
    <t>05/09/2024</t>
  </si>
  <si>
    <t>September/2024</t>
  </si>
  <si>
    <t>05/11/2024</t>
  </si>
  <si>
    <t>carlos lima</t>
  </si>
  <si>
    <t>Bolo de Chocolate</t>
  </si>
  <si>
    <t>05/12/2024</t>
  </si>
  <si>
    <t>06/01/2024</t>
  </si>
  <si>
    <t>06/05/2024</t>
  </si>
  <si>
    <t>Iogurte Natural Danone</t>
  </si>
  <si>
    <t>170g</t>
  </si>
  <si>
    <t>06/09/2024</t>
  </si>
  <si>
    <t>Achocolatado Nescau</t>
  </si>
  <si>
    <t>400g</t>
  </si>
  <si>
    <t>06/11/2024</t>
  </si>
  <si>
    <t>Detergente Ypê</t>
  </si>
  <si>
    <t>500ml</t>
  </si>
  <si>
    <t>06/12/2024</t>
  </si>
  <si>
    <t>07/02/2024</t>
  </si>
  <si>
    <t>Maçã Fuji</t>
  </si>
  <si>
    <t>07/05/2024</t>
  </si>
  <si>
    <t>07/07/2024</t>
  </si>
  <si>
    <t>07/08/2024</t>
  </si>
  <si>
    <t>Refrigerante Guaraná</t>
  </si>
  <si>
    <t>2L</t>
  </si>
  <si>
    <t>Tomate Italiano</t>
  </si>
  <si>
    <t>07/09/2024</t>
  </si>
  <si>
    <t>fernanda dias</t>
  </si>
  <si>
    <t>07/11/2024</t>
  </si>
  <si>
    <t>Leite Integral Italac</t>
  </si>
  <si>
    <t>07/12/2024</t>
  </si>
  <si>
    <t>Pão Francês</t>
  </si>
  <si>
    <t>08/01/2024</t>
  </si>
  <si>
    <t>Sabonete Dove</t>
  </si>
  <si>
    <t>90g</t>
  </si>
  <si>
    <t>08/02/2024</t>
  </si>
  <si>
    <t>Croissant</t>
  </si>
  <si>
    <t>08/04/2024</t>
  </si>
  <si>
    <t>Água Mineral Crystal</t>
  </si>
  <si>
    <t>1,5L</t>
  </si>
  <si>
    <t>08/06/2024</t>
  </si>
  <si>
    <t>Cerveja Brahma Lata</t>
  </si>
  <si>
    <t>350ml</t>
  </si>
  <si>
    <t>08/07/2024</t>
  </si>
  <si>
    <t>Batata Inglesa</t>
  </si>
  <si>
    <t>08/10/2024</t>
  </si>
  <si>
    <t>08/12/2024</t>
  </si>
  <si>
    <t>Energético Monster</t>
  </si>
  <si>
    <t>473ml</t>
  </si>
  <si>
    <t>09/02/2024</t>
  </si>
  <si>
    <t>09/04/2024</t>
  </si>
  <si>
    <t>Refrigerante Coca-Cola</t>
  </si>
  <si>
    <t>09/05/2024</t>
  </si>
  <si>
    <t>09/07/2024</t>
  </si>
  <si>
    <t>09/08/2024</t>
  </si>
  <si>
    <t>09/10/2024</t>
  </si>
  <si>
    <t>Creme Dental Colgate</t>
  </si>
  <si>
    <t>09/11/2024</t>
  </si>
  <si>
    <t>Desinfetante Pinho Sol</t>
  </si>
  <si>
    <t>10/03/2024</t>
  </si>
  <si>
    <t>10/06/2024</t>
  </si>
  <si>
    <t>10/07/2024</t>
  </si>
  <si>
    <t>10/08/2024</t>
  </si>
  <si>
    <t>Biscoito Club Social</t>
  </si>
  <si>
    <t>10/10/2024</t>
  </si>
  <si>
    <t>laticínios</t>
  </si>
  <si>
    <t>11/02/2024</t>
  </si>
  <si>
    <t>11/04/2024</t>
  </si>
  <si>
    <t>11/05/2024</t>
  </si>
  <si>
    <t>Picanha Bovina</t>
  </si>
  <si>
    <t>11/07/2024</t>
  </si>
  <si>
    <t>11/08/2024</t>
  </si>
  <si>
    <t>Feijão Carioca Camil</t>
  </si>
  <si>
    <t>11/09/2024</t>
  </si>
  <si>
    <t>11/10/2024</t>
  </si>
  <si>
    <t>11/11/2024</t>
  </si>
  <si>
    <t>11/12/2024</t>
  </si>
  <si>
    <t>12/03/2024</t>
  </si>
  <si>
    <t>12/04/2024</t>
  </si>
  <si>
    <t>12/06/2024</t>
  </si>
  <si>
    <t>12/11/2024</t>
  </si>
  <si>
    <t>Molho de Tomate Heinz</t>
  </si>
  <si>
    <t>340g</t>
  </si>
  <si>
    <t>12/12/2024</t>
  </si>
  <si>
    <t>13/01/2024</t>
  </si>
  <si>
    <t>13/02/2024</t>
  </si>
  <si>
    <t>13/05/2024</t>
  </si>
  <si>
    <t>13/06/2024</t>
  </si>
  <si>
    <t>13/07/2024</t>
  </si>
  <si>
    <t>flv</t>
  </si>
  <si>
    <t>13/08/2024</t>
  </si>
  <si>
    <t>13/11/2024</t>
  </si>
  <si>
    <t>14/01/2024</t>
  </si>
  <si>
    <t>14/03/2024</t>
  </si>
  <si>
    <t>14/06/2024</t>
  </si>
  <si>
    <t>14/07/2024</t>
  </si>
  <si>
    <t>14/08/2024</t>
  </si>
  <si>
    <t>14/10/2024</t>
  </si>
  <si>
    <t>15/04/2024</t>
  </si>
  <si>
    <t>15/05/2024</t>
  </si>
  <si>
    <t>15/06/2024</t>
  </si>
  <si>
    <t>Macarrão Renata</t>
  </si>
  <si>
    <t>15/07/2024</t>
  </si>
  <si>
    <t>15/08/2024</t>
  </si>
  <si>
    <t>Queijo Mussarela Polenghi</t>
  </si>
  <si>
    <t>15/09/2024</t>
  </si>
  <si>
    <t>15/11/2024</t>
  </si>
  <si>
    <t>15/12/2024</t>
  </si>
  <si>
    <t>16/01/2024</t>
  </si>
  <si>
    <t>16/02/2024</t>
  </si>
  <si>
    <t>16/03/2024</t>
  </si>
  <si>
    <t>16/05/2024</t>
  </si>
  <si>
    <t>16/06/2024</t>
  </si>
  <si>
    <t>16/09/2024</t>
  </si>
  <si>
    <t>Açúcar União</t>
  </si>
  <si>
    <t>16/10/2024</t>
  </si>
  <si>
    <t>16/11/2024</t>
  </si>
  <si>
    <t>16/12/2024</t>
  </si>
  <si>
    <t>17/02/2024</t>
  </si>
  <si>
    <t>17/04/2024</t>
  </si>
  <si>
    <t>17/05/2024</t>
  </si>
  <si>
    <t>17/06/2024</t>
  </si>
  <si>
    <t>17/09/2024</t>
  </si>
  <si>
    <t>17/11/2024</t>
  </si>
  <si>
    <t>17/12/2024</t>
  </si>
  <si>
    <t>18/02/2024</t>
  </si>
  <si>
    <t>18/04/2024</t>
  </si>
  <si>
    <t>18/06/2024</t>
  </si>
  <si>
    <t>18/07/2024</t>
  </si>
  <si>
    <t>18/08/2024</t>
  </si>
  <si>
    <t>18/09/2024</t>
  </si>
  <si>
    <t>mercearia</t>
  </si>
  <si>
    <t>18/10/2024</t>
  </si>
  <si>
    <t>18/11/2024</t>
  </si>
  <si>
    <t>higiene</t>
  </si>
  <si>
    <t>19/05/2024</t>
  </si>
  <si>
    <t>19/06/2024</t>
  </si>
  <si>
    <t>19/12/2024</t>
  </si>
  <si>
    <t>20/02/2024</t>
  </si>
  <si>
    <t>20/03/2024</t>
  </si>
  <si>
    <t>20/08/2024</t>
  </si>
  <si>
    <t>20/11/2024</t>
  </si>
  <si>
    <t>21/02/2024</t>
  </si>
  <si>
    <t>21/03/2024</t>
  </si>
  <si>
    <t>21/05/2024</t>
  </si>
  <si>
    <t>21/06/2024</t>
  </si>
  <si>
    <t>21/07/2024</t>
  </si>
  <si>
    <t>21/08/2024</t>
  </si>
  <si>
    <t>21/09/2024</t>
  </si>
  <si>
    <t>21/10/2024</t>
  </si>
  <si>
    <t>21/12/2024</t>
  </si>
  <si>
    <t>22/01/2024</t>
  </si>
  <si>
    <t>22/02/2024</t>
  </si>
  <si>
    <t>22/03/2024</t>
  </si>
  <si>
    <t>22/04/2024</t>
  </si>
  <si>
    <t>22/06/2024</t>
  </si>
  <si>
    <t>22/10/2024</t>
  </si>
  <si>
    <t>22/11/2024</t>
  </si>
  <si>
    <t>22/12/2024</t>
  </si>
  <si>
    <t>23/01/2024</t>
  </si>
  <si>
    <t>23/03/2024</t>
  </si>
  <si>
    <t>23/04/2024</t>
  </si>
  <si>
    <t>Sabão em Pó Omo</t>
  </si>
  <si>
    <t>23/05/2024</t>
  </si>
  <si>
    <t>23/07/2024</t>
  </si>
  <si>
    <t>23/09/2024</t>
  </si>
  <si>
    <t>23/10/2024</t>
  </si>
  <si>
    <t>23/11/2024</t>
  </si>
  <si>
    <t>24/02/2024</t>
  </si>
  <si>
    <t>24/05/2024</t>
  </si>
  <si>
    <t>24/07/2024</t>
  </si>
  <si>
    <t>24/08/2024</t>
  </si>
  <si>
    <t>24/10/2024</t>
  </si>
  <si>
    <t>25/02/2024</t>
  </si>
  <si>
    <t>25/05/2024</t>
  </si>
  <si>
    <t>25/06/2024</t>
  </si>
  <si>
    <t>25/11/2024</t>
  </si>
  <si>
    <t>25/12/2024</t>
  </si>
  <si>
    <t>26/03/2024</t>
  </si>
  <si>
    <t>26/04/2024</t>
  </si>
  <si>
    <t>26/06/2024</t>
  </si>
  <si>
    <t>26/07/2024</t>
  </si>
  <si>
    <t>26/08/2024</t>
  </si>
  <si>
    <t>26/10/2024</t>
  </si>
  <si>
    <t>26/11/2024</t>
  </si>
  <si>
    <t>26/12/2024</t>
  </si>
  <si>
    <t>27/01/2024</t>
  </si>
  <si>
    <t>27/02/2024</t>
  </si>
  <si>
    <t>27/06/2024</t>
  </si>
  <si>
    <t>27/07/2024</t>
  </si>
  <si>
    <t>27/08/2024</t>
  </si>
  <si>
    <t>27/11/2024</t>
  </si>
  <si>
    <t>27/12/2024</t>
  </si>
  <si>
    <t>joão souza</t>
  </si>
  <si>
    <t>28/01/2024</t>
  </si>
  <si>
    <t>28/02/2024</t>
  </si>
  <si>
    <t>28/03/2024</t>
  </si>
  <si>
    <t>28/08/2024</t>
  </si>
  <si>
    <t>28/09/2024</t>
  </si>
  <si>
    <t>28/10/2024</t>
  </si>
  <si>
    <t>28/11/2024</t>
  </si>
  <si>
    <t>28/12/2024</t>
  </si>
  <si>
    <t>29/01/2024</t>
  </si>
  <si>
    <t>29/04/2024</t>
  </si>
  <si>
    <t>29/07/2024</t>
  </si>
  <si>
    <t>29/11/2024</t>
  </si>
  <si>
    <t>30/01/2024</t>
  </si>
  <si>
    <t>30/03/2024</t>
  </si>
  <si>
    <t>30/04/2024</t>
  </si>
  <si>
    <t>30/05/2024</t>
  </si>
  <si>
    <t>30/10/2024</t>
  </si>
  <si>
    <t>31/01/2024</t>
  </si>
  <si>
    <t>31/03/2024</t>
  </si>
  <si>
    <t>31/05/2024</t>
  </si>
  <si>
    <t>31/07/2024</t>
  </si>
  <si>
    <t>31/08/2024</t>
  </si>
  <si>
    <t>31/10/2024</t>
  </si>
  <si>
    <t>Metas de Vendas 2024 — Por Loja</t>
  </si>
  <si>
    <t>Mês</t>
  </si>
  <si>
    <t>Loja Centro (R$)</t>
  </si>
  <si>
    <t>Loja Norte (R$)</t>
  </si>
  <si>
    <t>Loja Sul (R$)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</si>
  <si>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</si>
  <si>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</si>
  <si>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</si>
  <si>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</si>
  <si>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</si>
  <si>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</si>
  <si>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</si>
  <si>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</si>
  <si>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</si>
  <si>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</si>
  <si>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</si>
  <si>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</si>
  <si>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</t>
  </si>
  <si>
    <t>Sim</t>
  </si>
  <si>
    <t>Faltou data?</t>
  </si>
  <si>
    <t>Não</t>
  </si>
  <si>
    <t>Preço_Unit (Observação)</t>
  </si>
  <si>
    <t>OK</t>
  </si>
  <si>
    <t>1l</t>
  </si>
  <si>
    <t>Erro pricing</t>
  </si>
  <si>
    <t>2l</t>
  </si>
  <si>
    <t>1,5l</t>
  </si>
  <si>
    <t>Total Geral</t>
  </si>
  <si>
    <t>Insights</t>
  </si>
  <si>
    <t>1. Mercearia é a categoria que mais vende</t>
  </si>
  <si>
    <t>2. Açougue é a categoria que menos vende</t>
  </si>
  <si>
    <t>Rótulos de Coluna</t>
  </si>
  <si>
    <t>Soma de Total</t>
  </si>
  <si>
    <t>Soma de Quantidade</t>
  </si>
  <si>
    <t>Qnt venda categoria</t>
  </si>
  <si>
    <t>% vendas categoria</t>
  </si>
  <si>
    <t>% acumulado categoria</t>
  </si>
  <si>
    <t>Vendedores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</si>
  <si>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</si>
  <si>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</si>
  <si>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</si>
  <si>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</si>
  <si>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</si>
  <si>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</si>
  <si>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</si>
  <si>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</si>
  <si>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</si>
  <si>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</si>
  <si>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</si>
  <si>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</si>
  <si>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% venda por vendedor</t>
  </si>
  <si>
    <t>% acumulada</t>
  </si>
  <si>
    <t>Quantidade de vendas</t>
  </si>
  <si>
    <t>1. Fernanda Dias vendeu mais e gerou mais receita</t>
  </si>
  <si>
    <t>Venda por vendedor</t>
  </si>
  <si>
    <t>2. Carlos Lima só vendeu menos em um trismestre</t>
  </si>
  <si>
    <t>3. Fernanda Dias teve uma venda anual linear, com dois momentos expecionais no ano</t>
  </si>
  <si>
    <t>1.Fernanda Dias foi líder de vendas em dois trimestres, assim como Maria Costa</t>
  </si>
  <si>
    <t>2. Fernanda Dias vendeu 64% a mais do que Carlos Lima, que vendeu menos</t>
  </si>
  <si>
    <t>Venda por loja</t>
  </si>
  <si>
    <t>Lojas</t>
  </si>
  <si>
    <t>% vendas por loja</t>
  </si>
  <si>
    <t>1. Vendas muito equilibradas com leve melhoria da loja norte</t>
  </si>
  <si>
    <t>Top 20 mais vendidos</t>
  </si>
  <si>
    <t>1. Fralda Pampers foi o item com maior faturamento</t>
  </si>
  <si>
    <t>2. Suco Dell Valle obteve menor faturamento</t>
  </si>
  <si>
    <t>3. Café Pilão foi o item com maior volume de venda</t>
  </si>
  <si>
    <t>S</t>
  </si>
  <si>
    <t>TOTAL</t>
  </si>
  <si>
    <t>1. Maria Costa concedeu mais descontos</t>
  </si>
  <si>
    <t>Mês (número)</t>
  </si>
  <si>
    <t>Descontos (R$)</t>
  </si>
  <si>
    <t>2. Pedro Rocha usou menos o recurso de desconto</t>
  </si>
  <si>
    <t>Venda mensal</t>
  </si>
  <si>
    <t>Meta</t>
  </si>
  <si>
    <t>Meta atingida %</t>
  </si>
  <si>
    <t>3. Outubro teve o melhor faturamento com R$8.384,43, puxado pela Loja Norte</t>
  </si>
  <si>
    <t>4. Janeiro foi o pior mês com R$2.278 (4% da meta)</t>
  </si>
  <si>
    <t>2. Maior atinginmento foi 16%. Meta irreal. Revisão</t>
  </si>
  <si>
    <t>1. Nenhum mês atingiu nem 20% da meta estipulada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</si>
</sst>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\R\$\ #,##0.00"/>
    <numFmt numFmtId="165" formatCode="_-[$R$-416]\ * #,##0.00_-;\-[$R$-416]\ * #,##0.00_-;_-[$R$-416]\ * &quot;-&quot;??_-;_-@_-"/>
    <numFmt numFmtId="166" formatCode="_-[$R$-416]\ * #,##0_-;\-[$R$-416]\ * #,##0_-;_-[$R$-416]\ * &quot;-&quot;??_-;_-@_-"/>
    <numFmt numFmtId="167" formatCode="_-* #,##0_-;\-* #,##0_-;_-* &quot;-&quot;??_-;_-@_-"/>
    <numFmt numFmtId="168" formatCode="[$-416]mmm\-yy;@"/>
  </numFmts>
  <fonts count="11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4"/>
      <color rgb="FF1F4E79"/>
      <name val="Arial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0"/>
      <color theme="1"/>
      <name val="Arial"/>
      <family val="2"/>
    </font>
    <font>
      <b/>
      <sz val="11"/>
      <color rgb="FFFFFFFF"/>
      <name val="Arial"/>
      <family val="2"/>
    </font>
    <font>
      <sz val="10"/>
      <color theme="1"/>
      <name val="Arial"/>
      <family val="2"/>
    </font>
    <font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FFE0E0"/>
      </patternFill>
    </fill>
    <fill>
      <patternFill patternType="solid">
        <fgColor rgb="FF2E75B6"/>
      </patternFill>
    </fill>
    <fill>
      <patternFill patternType="solid">
        <fgColor rgb="FF66FF99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/>
      <diagonal/>
    </border>
    <border>
      <left style="thin">
        <color rgb="FFBFBFBF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9" fontId="5" fillId="0" borderId="0" applyFont="0" applyFill="0" applyBorder="0" applyAlignment="0" applyProtection="0"/>
  </cellStyleXfs>
  <cellXfs count="60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164" fontId="2" fillId="4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2" fillId="0" borderId="0" xfId="0" applyFont="1"/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left" vertical="center"/>
    </xf>
    <xf numFmtId="164" fontId="2" fillId="0" borderId="8" xfId="0" applyNumberFormat="1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14" fontId="0" fillId="0" borderId="0" xfId="0" applyNumberFormat="1"/>
    <xf numFmtId="0" fontId="0" fillId="0" borderId="0" xfId="0" applyNumberFormat="1"/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4" fillId="0" borderId="0" xfId="0" applyFont="1"/>
    <xf numFmtId="0" fontId="0" fillId="0" borderId="0" xfId="0"/>
    <xf numFmtId="165" fontId="0" fillId="0" borderId="0" xfId="0" applyNumberFormat="1"/>
    <xf numFmtId="167" fontId="0" fillId="0" borderId="0" xfId="0" applyNumberFormat="1"/>
    <xf numFmtId="0" fontId="4" fillId="0" borderId="0" xfId="0" pivotButton="1" applyFont="1" applyAlignment="1">
      <alignment horizontal="center"/>
    </xf>
    <xf numFmtId="0" fontId="4" fillId="0" borderId="0" xfId="0" applyFont="1" applyAlignment="1">
      <alignment horizontal="center"/>
    </xf>
    <xf numFmtId="167" fontId="0" fillId="0" borderId="0" xfId="1" applyNumberFormat="1" applyFont="1"/>
    <xf numFmtId="44" fontId="0" fillId="0" borderId="0" xfId="2" applyFont="1"/>
    <xf numFmtId="165" fontId="0" fillId="0" borderId="0" xfId="1" applyNumberFormat="1" applyFont="1"/>
    <xf numFmtId="0" fontId="6" fillId="0" borderId="0" xfId="0" applyFont="1"/>
    <xf numFmtId="164" fontId="7" fillId="0" borderId="0" xfId="0" applyNumberFormat="1" applyFont="1" applyAlignment="1">
      <alignment horizontal="center"/>
    </xf>
    <xf numFmtId="0" fontId="8" fillId="5" borderId="1" xfId="0" applyFont="1" applyFill="1" applyBorder="1" applyAlignment="1">
      <alignment horizontal="center" vertical="center" wrapText="1"/>
    </xf>
    <xf numFmtId="4" fontId="9" fillId="0" borderId="0" xfId="0" applyNumberFormat="1" applyFont="1"/>
    <xf numFmtId="44" fontId="7" fillId="7" borderId="0" xfId="2" applyFont="1" applyFill="1"/>
    <xf numFmtId="168" fontId="0" fillId="0" borderId="0" xfId="0" pivotButton="1" applyNumberFormat="1"/>
    <xf numFmtId="168" fontId="0" fillId="0" borderId="0" xfId="0" applyNumberFormat="1" applyAlignment="1">
      <alignment horizontal="left"/>
    </xf>
    <xf numFmtId="168" fontId="0" fillId="0" borderId="0" xfId="0" applyNumberFormat="1"/>
    <xf numFmtId="165" fontId="9" fillId="0" borderId="0" xfId="0" applyNumberFormat="1" applyFont="1"/>
    <xf numFmtId="0" fontId="8" fillId="5" borderId="10" xfId="0" applyFont="1" applyFill="1" applyBorder="1" applyAlignment="1">
      <alignment horizontal="center" vertical="center" wrapText="1"/>
    </xf>
    <xf numFmtId="44" fontId="4" fillId="0" borderId="0" xfId="0" applyNumberFormat="1" applyFont="1"/>
    <xf numFmtId="10" fontId="0" fillId="0" borderId="11" xfId="3" applyNumberFormat="1" applyFont="1" applyBorder="1" applyAlignment="1">
      <alignment horizontal="center"/>
    </xf>
    <xf numFmtId="0" fontId="4" fillId="6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0" fillId="0" borderId="0" xfId="0"/>
    <xf numFmtId="0" fontId="0" fillId="0" borderId="0" xfId="0" applyAlignment="1">
      <alignment horizontal="left"/>
    </xf>
    <xf numFmtId="166" fontId="0" fillId="0" borderId="0" xfId="0" applyNumberFormat="1"/>
    <xf numFmtId="0" fontId="0" fillId="0" borderId="0" xfId="0" applyAlignment="1">
      <alignment horizontal="left"/>
    </xf>
    <xf numFmtId="0" fontId="3" fillId="0" borderId="0" xfId="0" applyFont="1" applyAlignment="1">
      <alignment horizontal="center" vertical="center" wrapText="1"/>
    </xf>
    <xf numFmtId="0" fontId="0" fillId="0" borderId="0" xfId="0"/>
    <xf numFmtId="0" fontId="0" fillId="0" borderId="0" xfId="0" pivotButton="1" applyAlignment="1">
      <alignment horizontal="center" wrapText="1"/>
    </xf>
    <xf numFmtId="0" fontId="0" fillId="0" borderId="0" xfId="0" applyAlignment="1">
      <alignment horizontal="center"/>
    </xf>
    <xf numFmtId="165" fontId="10" fillId="0" borderId="0" xfId="0" applyNumberFormat="1" applyFont="1"/>
    <xf numFmtId="44" fontId="0" fillId="0" borderId="0" xfId="0" applyNumberFormat="1"/>
  </cellXfs>
  <cellStyles count="4">
    <cellStyle name="Moeda" xfId="2" builtinId="4"/>
    <cellStyle name="Normal" xfId="0" builtinId="0"/>
    <cellStyle name="Porcentagem" xfId="3" builtinId="5"/>
    <cellStyle name="Vírgula" xfId="1" builtinId="3"/>
  </cellStyles>
  <dxfs count="57">
    <dxf>
      <numFmt numFmtId="34" formatCode="_-&quot;R$&quot;\ * #,##0.00_-;\-&quot;R$&quot;\ * #,##0.00_-;_-&quot;R$&quot;\ * &quot;-&quot;??_-;_-@_-"/>
    </dxf>
    <dxf>
      <fill>
        <patternFill>
          <bgColor rgb="FFFF5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3300"/>
        </patternFill>
      </fill>
    </dxf>
    <dxf>
      <font>
        <color rgb="FFFF0000"/>
      </font>
    </dxf>
    <dxf>
      <numFmt numFmtId="165" formatCode="_-[$R$-416]\ * #,##0.00_-;\-[$R$-416]\ * #,##0.00_-;_-[$R$-416]\ * &quot;-&quot;??_-;_-@_-"/>
    </dxf>
    <dxf>
      <numFmt numFmtId="165" formatCode="_-[$R$-416]\ * #,##0.00_-;\-[$R$-416]\ * #,##0.00_-;_-[$R$-416]\ * &quot;-&quot;??_-;_-@_-"/>
    </dxf>
    <dxf>
      <numFmt numFmtId="165" formatCode="_-[$R$-416]\ * #,##0.00_-;\-[$R$-416]\ * #,##0.00_-;_-[$R$-416]\ 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5" formatCode="_-[$R$-416]\ * #,##0.00_-;\-[$R$-416]\ * #,##0.00_-;_-[$R$-416]\ * &quot;-&quot;??_-;_-@_-"/>
    </dxf>
    <dxf>
      <numFmt numFmtId="14" formatCode="0.00%"/>
    </dxf>
    <dxf>
      <alignment horizontal="center"/>
    </dxf>
    <dxf>
      <alignment wrapText="1"/>
    </dxf>
    <dxf>
      <numFmt numFmtId="165" formatCode="_-[$R$-416]\ * #,##0.00_-;\-[$R$-416]\ * #,##0.00_-;_-[$R$-416]\ * &quot;-&quot;??_-;_-@_-"/>
    </dxf>
    <dxf>
      <fill>
        <patternFill patternType="solid">
          <bgColor rgb="FF66FF99"/>
        </patternFill>
      </fill>
    </dxf>
    <dxf>
      <fill>
        <patternFill patternType="solid">
          <bgColor rgb="FF66FF99"/>
        </patternFill>
      </fill>
    </dxf>
    <dxf>
      <fill>
        <patternFill>
          <bgColor theme="0"/>
        </patternFill>
      </fill>
    </dxf>
    <dxf>
      <alignment horizontal="center"/>
    </dxf>
    <dxf>
      <alignment horizontal="center"/>
    </dxf>
    <dxf>
      <font>
        <b/>
      </font>
    </dxf>
    <dxf>
      <font>
        <b/>
      </font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 patternType="solid">
          <bgColor rgb="FF66FF99"/>
        </patternFill>
      </fill>
    </dxf>
    <dxf>
      <fill>
        <patternFill>
          <bgColor theme="4" tint="0.79998168889431442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theme="4" tint="0.79998168889431442"/>
        </patternFill>
      </fill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\R\$\ #,##0.00"/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\R\$\ #,##0.00"/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\R\$\ #,##0.00"/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top style="thin">
          <color rgb="FFBFBFBF"/>
        </top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border outline="0"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indexed="64"/>
          <bgColor rgb="FF1F4E7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</dxfs>
  <tableStyles count="0" defaultTableStyle="TableStyleMedium9" defaultPivotStyle="PivotStyleLight16"/>
  <colors>
    <mruColors>
      <color rgb="FFFF5050"/>
      <color rgb="FFFF3300"/>
      <color rgb="FF66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1/relationships/timelineCache" Target="timelineCaches/timelineCache1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microsoft.com/office/2007/relationships/slicerCache" Target="slicerCaches/slicerCache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1/relationships/timelineCache" Target="timelineCaches/timelineCache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[vendas_minimercado_2024 testewgrhjth.xlsx]Desconto!Tabela dinâmica23</c:name>
    <c:fmtId val="1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Desconto por vendedor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0000"/>
          </a:solidFill>
          <a:ln>
            <a:noFill/>
          </a:ln>
          <a:effectLst/>
        </c:spP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  <c:pivotFmt>
        <c:idx val="3"/>
        <c:spPr>
          <a:solidFill>
            <a:srgbClr val="92D050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</c:pivotFmt>
      <c:pivotFmt>
        <c:idx val="6"/>
        <c:spPr>
          <a:solidFill>
            <a:srgbClr val="FF0000"/>
          </a:solidFill>
          <a:ln>
            <a:noFill/>
          </a:ln>
          <a:effectLst/>
        </c:spPr>
      </c:pivotFmt>
      <c:pivotFmt>
        <c:idx val="7"/>
        <c:spPr>
          <a:solidFill>
            <a:srgbClr val="92D050"/>
          </a:solidFill>
          <a:ln>
            <a:noFill/>
          </a:ln>
          <a:effectLst/>
        </c:spP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</c:pivotFmt>
      <c:pivotFmt>
        <c:idx val="10"/>
        <c:spPr>
          <a:solidFill>
            <a:srgbClr val="FF0000"/>
          </a:solidFill>
          <a:ln>
            <a:noFill/>
          </a:ln>
          <a:effectLst/>
        </c:spPr>
      </c:pivotFmt>
      <c:pivotFmt>
        <c:idx val="11"/>
        <c:spPr>
          <a:solidFill>
            <a:srgbClr val="92D050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Desconto!$B$1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06D-4720-828A-EB49D08333E7}"/>
              </c:ext>
            </c:extLst>
          </c:dPt>
          <c:dPt>
            <c:idx val="4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06D-4720-828A-EB49D08333E7}"/>
              </c:ext>
            </c:extLst>
          </c:dPt>
          <c:dPt>
            <c:idx val="5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006D-4720-828A-EB49D08333E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Desconto!$A$2:$A$8</c:f>
              <c:strCache>
                <c:ptCount val="6"/>
                <c:pt idx="0">
                  <c:v>Ana Silva</c:v>
                </c:pt>
                <c:pt idx="1">
                  <c:v>Carlos Lima</c:v>
                </c:pt>
                <c:pt idx="2">
                  <c:v>Fernanda Dias</c:v>
                </c:pt>
                <c:pt idx="3">
                  <c:v>João Souza</c:v>
                </c:pt>
                <c:pt idx="4">
                  <c:v>Maria Costa</c:v>
                </c:pt>
                <c:pt idx="5">
                  <c:v>Pedro Rocha</c:v>
                </c:pt>
              </c:strCache>
            </c:strRef>
          </c:cat>
          <c:val>
            <c:numRef>
              <c:f>Desconto!$B$2:$B$8</c:f>
              <c:numCache>
                <c:formatCode>_-[$R$-416]\ * #,##0.00_-;\-[$R$-416]\ * #,##0.00_-;_-[$R$-416]\ * "-"??_-;_-@_-</c:formatCode>
                <c:ptCount val="6"/>
                <c:pt idx="0">
                  <c:v>303.78000000000003</c:v>
                </c:pt>
                <c:pt idx="1">
                  <c:v>199.01999999999998</c:v>
                </c:pt>
                <c:pt idx="2">
                  <c:v>221.05999999999997</c:v>
                </c:pt>
                <c:pt idx="3">
                  <c:v>293.81000000000006</c:v>
                </c:pt>
                <c:pt idx="4">
                  <c:v>476.44999999999993</c:v>
                </c:pt>
                <c:pt idx="5">
                  <c:v>183.97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06D-4720-828A-EB49D08333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73732831"/>
        <c:axId val="1673741983"/>
      </c:barChart>
      <c:catAx>
        <c:axId val="16737328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73741983"/>
        <c:crosses val="autoZero"/>
        <c:auto val="1"/>
        <c:lblAlgn val="ctr"/>
        <c:lblOffset val="100"/>
        <c:noMultiLvlLbl val="0"/>
      </c:catAx>
      <c:valAx>
        <c:axId val="1673741983"/>
        <c:scaling>
          <c:orientation val="minMax"/>
        </c:scaling>
        <c:delete val="1"/>
        <c:axPos val="b"/>
        <c:numFmt formatCode="_-[$R$-416]\ * #,##0_-;\-[$R$-416]\ * #,##0_-;_-[$R$-416]\ * &quot;-&quot;_-;_-@_-" sourceLinked="0"/>
        <c:majorTickMark val="none"/>
        <c:minorTickMark val="none"/>
        <c:tickLblPos val="low"/>
        <c:crossAx val="16737328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[vendas_minimercado_2024 testewgrhjth.xlsx]Top 20 itens!Tabela dinâmica22</c:name>
    <c:fmtId val="27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20 itens'!$C$2</c:f>
              <c:strCache>
                <c:ptCount val="1"/>
                <c:pt idx="0">
                  <c:v>Soma de 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'Top 20 itens'!$B$3:$B$23</c:f>
              <c:strCache>
                <c:ptCount val="20"/>
                <c:pt idx="0">
                  <c:v>Suco Del Valle</c:v>
                </c:pt>
                <c:pt idx="1">
                  <c:v>Requeijão Catupiry</c:v>
                </c:pt>
                <c:pt idx="2">
                  <c:v>Tomate Italiano</c:v>
                </c:pt>
                <c:pt idx="3">
                  <c:v>Cerveja Heineken Long Neck</c:v>
                </c:pt>
                <c:pt idx="4">
                  <c:v>Arroz Tio João</c:v>
                </c:pt>
                <c:pt idx="5">
                  <c:v>Energético Monster</c:v>
                </c:pt>
                <c:pt idx="6">
                  <c:v>Maçã Fuji</c:v>
                </c:pt>
                <c:pt idx="7">
                  <c:v>Amaciante Comfort</c:v>
                </c:pt>
                <c:pt idx="8">
                  <c:v>Condicionador Seda</c:v>
                </c:pt>
                <c:pt idx="9">
                  <c:v>Carne Moída</c:v>
                </c:pt>
                <c:pt idx="10">
                  <c:v>Manteiga Aviação</c:v>
                </c:pt>
                <c:pt idx="11">
                  <c:v>Linguiça Toscana</c:v>
                </c:pt>
                <c:pt idx="12">
                  <c:v>Shampoo Seda</c:v>
                </c:pt>
                <c:pt idx="13">
                  <c:v>Papel Higiênico Neve</c:v>
                </c:pt>
                <c:pt idx="14">
                  <c:v>Bolo de Chocolate</c:v>
                </c:pt>
                <c:pt idx="15">
                  <c:v>Frango Inteiro Sadia</c:v>
                </c:pt>
                <c:pt idx="16">
                  <c:v>Café Pilão</c:v>
                </c:pt>
                <c:pt idx="17">
                  <c:v>Queijo Mussarela Polenghi</c:v>
                </c:pt>
                <c:pt idx="18">
                  <c:v>Picanha Bovina</c:v>
                </c:pt>
                <c:pt idx="19">
                  <c:v>Fralda Pampers</c:v>
                </c:pt>
              </c:strCache>
            </c:strRef>
          </c:cat>
          <c:val>
            <c:numRef>
              <c:f>'Top 20 itens'!$C$3:$C$23</c:f>
              <c:numCache>
                <c:formatCode>_-[$R$-416]\ * #,##0.00_-;\-[$R$-416]\ * #,##0.00_-;_-[$R$-416]\ * "-"??_-;_-@_-</c:formatCode>
                <c:ptCount val="20"/>
                <c:pt idx="0">
                  <c:v>803.87500000000011</c:v>
                </c:pt>
                <c:pt idx="1">
                  <c:v>859.32000000000016</c:v>
                </c:pt>
                <c:pt idx="2">
                  <c:v>865.94299999999998</c:v>
                </c:pt>
                <c:pt idx="3">
                  <c:v>960.95600000000013</c:v>
                </c:pt>
                <c:pt idx="4">
                  <c:v>1149.3900000000001</c:v>
                </c:pt>
                <c:pt idx="5">
                  <c:v>1282.82</c:v>
                </c:pt>
                <c:pt idx="6">
                  <c:v>1284.9349999999999</c:v>
                </c:pt>
                <c:pt idx="7">
                  <c:v>1310.6399999999999</c:v>
                </c:pt>
                <c:pt idx="8">
                  <c:v>1562.2650000000001</c:v>
                </c:pt>
                <c:pt idx="9">
                  <c:v>1612.0999999999997</c:v>
                </c:pt>
                <c:pt idx="10">
                  <c:v>1795.0350000000003</c:v>
                </c:pt>
                <c:pt idx="11">
                  <c:v>1865.0099999999998</c:v>
                </c:pt>
                <c:pt idx="12">
                  <c:v>2232.02</c:v>
                </c:pt>
                <c:pt idx="13">
                  <c:v>2424.8149999999996</c:v>
                </c:pt>
                <c:pt idx="14">
                  <c:v>2705.3849999999998</c:v>
                </c:pt>
                <c:pt idx="15">
                  <c:v>2776.6249999999995</c:v>
                </c:pt>
                <c:pt idx="16">
                  <c:v>3482.3250000000003</c:v>
                </c:pt>
                <c:pt idx="17">
                  <c:v>4093.7470000000003</c:v>
                </c:pt>
                <c:pt idx="18">
                  <c:v>6809.9250000000011</c:v>
                </c:pt>
                <c:pt idx="19">
                  <c:v>9711.81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1F-4DAE-A884-A28E9C425A42}"/>
            </c:ext>
          </c:extLst>
        </c:ser>
        <c:ser>
          <c:idx val="1"/>
          <c:order val="1"/>
          <c:tx>
            <c:strRef>
              <c:f>'Top 20 itens'!$D$2</c:f>
              <c:strCache>
                <c:ptCount val="1"/>
                <c:pt idx="0">
                  <c:v>Soma de Quantidade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'Top 20 itens'!$B$3:$B$23</c:f>
              <c:strCache>
                <c:ptCount val="20"/>
                <c:pt idx="0">
                  <c:v>Suco Del Valle</c:v>
                </c:pt>
                <c:pt idx="1">
                  <c:v>Requeijão Catupiry</c:v>
                </c:pt>
                <c:pt idx="2">
                  <c:v>Tomate Italiano</c:v>
                </c:pt>
                <c:pt idx="3">
                  <c:v>Cerveja Heineken Long Neck</c:v>
                </c:pt>
                <c:pt idx="4">
                  <c:v>Arroz Tio João</c:v>
                </c:pt>
                <c:pt idx="5">
                  <c:v>Energético Monster</c:v>
                </c:pt>
                <c:pt idx="6">
                  <c:v>Maçã Fuji</c:v>
                </c:pt>
                <c:pt idx="7">
                  <c:v>Amaciante Comfort</c:v>
                </c:pt>
                <c:pt idx="8">
                  <c:v>Condicionador Seda</c:v>
                </c:pt>
                <c:pt idx="9">
                  <c:v>Carne Moída</c:v>
                </c:pt>
                <c:pt idx="10">
                  <c:v>Manteiga Aviação</c:v>
                </c:pt>
                <c:pt idx="11">
                  <c:v>Linguiça Toscana</c:v>
                </c:pt>
                <c:pt idx="12">
                  <c:v>Shampoo Seda</c:v>
                </c:pt>
                <c:pt idx="13">
                  <c:v>Papel Higiênico Neve</c:v>
                </c:pt>
                <c:pt idx="14">
                  <c:v>Bolo de Chocolate</c:v>
                </c:pt>
                <c:pt idx="15">
                  <c:v>Frango Inteiro Sadia</c:v>
                </c:pt>
                <c:pt idx="16">
                  <c:v>Café Pilão</c:v>
                </c:pt>
                <c:pt idx="17">
                  <c:v>Queijo Mussarela Polenghi</c:v>
                </c:pt>
                <c:pt idx="18">
                  <c:v>Picanha Bovina</c:v>
                </c:pt>
                <c:pt idx="19">
                  <c:v>Fralda Pampers</c:v>
                </c:pt>
              </c:strCache>
            </c:strRef>
          </c:cat>
          <c:val>
            <c:numRef>
              <c:f>'Top 20 itens'!$D$3:$D$23</c:f>
              <c:numCache>
                <c:formatCode>_-* #,##0_-;\-* #,##0_-;_-* "-"??_-;_-@_-</c:formatCode>
                <c:ptCount val="20"/>
                <c:pt idx="0">
                  <c:v>134</c:v>
                </c:pt>
                <c:pt idx="1">
                  <c:v>86</c:v>
                </c:pt>
                <c:pt idx="2">
                  <c:v>142</c:v>
                </c:pt>
                <c:pt idx="3">
                  <c:v>120</c:v>
                </c:pt>
                <c:pt idx="4">
                  <c:v>88</c:v>
                </c:pt>
                <c:pt idx="5">
                  <c:v>107</c:v>
                </c:pt>
                <c:pt idx="6">
                  <c:v>161</c:v>
                </c:pt>
                <c:pt idx="7">
                  <c:v>100</c:v>
                </c:pt>
                <c:pt idx="8">
                  <c:v>104</c:v>
                </c:pt>
                <c:pt idx="9">
                  <c:v>49</c:v>
                </c:pt>
                <c:pt idx="10">
                  <c:v>138</c:v>
                </c:pt>
                <c:pt idx="11">
                  <c:v>74</c:v>
                </c:pt>
                <c:pt idx="12">
                  <c:v>149</c:v>
                </c:pt>
                <c:pt idx="13">
                  <c:v>121</c:v>
                </c:pt>
                <c:pt idx="14">
                  <c:v>107</c:v>
                </c:pt>
                <c:pt idx="15">
                  <c:v>121</c:v>
                </c:pt>
                <c:pt idx="16">
                  <c:v>183</c:v>
                </c:pt>
                <c:pt idx="17">
                  <c:v>123</c:v>
                </c:pt>
                <c:pt idx="18">
                  <c:v>75</c:v>
                </c:pt>
                <c:pt idx="19">
                  <c:v>176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B1F-4DAE-A884-A28E9C425A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73742399"/>
        <c:axId val="1673727423"/>
      </c:barChart>
      <c:catAx>
        <c:axId val="16737423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73727423"/>
        <c:crosses val="autoZero"/>
        <c:auto val="1"/>
        <c:lblAlgn val="ctr"/>
        <c:lblOffset val="100"/>
        <c:noMultiLvlLbl val="0"/>
      </c:catAx>
      <c:valAx>
        <c:axId val="16737274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R$-416]\ * #,##0_-;\-[$R$-416]\ * #,##0_-;_-[$R$-416]\ * &quot;-&quot;_-;_-@_-" sourceLinked="0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737423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[vendas_minimercado_2024 testewgrhjth.xlsx]Categoria!Tabela dinâmica18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Categoria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B0F0"/>
          </a:solidFill>
          <a:ln>
            <a:noFill/>
          </a:ln>
          <a:effectLst/>
        </c:spP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00B0F0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00B0F0"/>
          </a:solidFill>
          <a:ln>
            <a:noFill/>
          </a:ln>
          <a:effectLst/>
        </c:spP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Categoria!$B$2</c:f>
              <c:strCache>
                <c:ptCount val="1"/>
                <c:pt idx="0">
                  <c:v>Qnt venda categoria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6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501-424F-B3D6-DB7247C2556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Categoria!$A$3:$A$11</c:f>
              <c:strCache>
                <c:ptCount val="8"/>
                <c:pt idx="0">
                  <c:v>Açougue</c:v>
                </c:pt>
                <c:pt idx="1">
                  <c:v>Bebidas</c:v>
                </c:pt>
                <c:pt idx="2">
                  <c:v>FLV</c:v>
                </c:pt>
                <c:pt idx="3">
                  <c:v>Higiene</c:v>
                </c:pt>
                <c:pt idx="4">
                  <c:v>Laticínios</c:v>
                </c:pt>
                <c:pt idx="5">
                  <c:v>Limpeza</c:v>
                </c:pt>
                <c:pt idx="6">
                  <c:v>Mercearia</c:v>
                </c:pt>
                <c:pt idx="7">
                  <c:v>Padaria</c:v>
                </c:pt>
              </c:strCache>
            </c:strRef>
          </c:cat>
          <c:val>
            <c:numRef>
              <c:f>Categoria!$B$3:$B$11</c:f>
              <c:numCache>
                <c:formatCode>General</c:formatCode>
                <c:ptCount val="8"/>
                <c:pt idx="0">
                  <c:v>20</c:v>
                </c:pt>
                <c:pt idx="1">
                  <c:v>40</c:v>
                </c:pt>
                <c:pt idx="2">
                  <c:v>30</c:v>
                </c:pt>
                <c:pt idx="3">
                  <c:v>42</c:v>
                </c:pt>
                <c:pt idx="4">
                  <c:v>39</c:v>
                </c:pt>
                <c:pt idx="5">
                  <c:v>30</c:v>
                </c:pt>
                <c:pt idx="6">
                  <c:v>65</c:v>
                </c:pt>
                <c:pt idx="7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501-424F-B3D6-DB7247C25568}"/>
            </c:ext>
          </c:extLst>
        </c:ser>
        <c:ser>
          <c:idx val="1"/>
          <c:order val="1"/>
          <c:tx>
            <c:strRef>
              <c:f>Categoria!$C$2</c:f>
              <c:strCache>
                <c:ptCount val="1"/>
                <c:pt idx="0">
                  <c:v>% vendas categoria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Categoria!$A$3:$A$11</c:f>
              <c:strCache>
                <c:ptCount val="8"/>
                <c:pt idx="0">
                  <c:v>Açougue</c:v>
                </c:pt>
                <c:pt idx="1">
                  <c:v>Bebidas</c:v>
                </c:pt>
                <c:pt idx="2">
                  <c:v>FLV</c:v>
                </c:pt>
                <c:pt idx="3">
                  <c:v>Higiene</c:v>
                </c:pt>
                <c:pt idx="4">
                  <c:v>Laticínios</c:v>
                </c:pt>
                <c:pt idx="5">
                  <c:v>Limpeza</c:v>
                </c:pt>
                <c:pt idx="6">
                  <c:v>Mercearia</c:v>
                </c:pt>
                <c:pt idx="7">
                  <c:v>Padaria</c:v>
                </c:pt>
              </c:strCache>
            </c:strRef>
          </c:cat>
          <c:val>
            <c:numRef>
              <c:f>Categoria!$C$3:$C$11</c:f>
              <c:numCache>
                <c:formatCode>0.00%</c:formatCode>
                <c:ptCount val="8"/>
                <c:pt idx="0">
                  <c:v>6.6666666666666666E-2</c:v>
                </c:pt>
                <c:pt idx="1">
                  <c:v>0.13333333333333333</c:v>
                </c:pt>
                <c:pt idx="2">
                  <c:v>0.1</c:v>
                </c:pt>
                <c:pt idx="3">
                  <c:v>0.14000000000000001</c:v>
                </c:pt>
                <c:pt idx="4">
                  <c:v>0.13</c:v>
                </c:pt>
                <c:pt idx="5">
                  <c:v>0.1</c:v>
                </c:pt>
                <c:pt idx="6">
                  <c:v>0.21666666666666667</c:v>
                </c:pt>
                <c:pt idx="7">
                  <c:v>0.11333333333333333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501-424F-B3D6-DB7247C25568}"/>
            </c:ext>
          </c:extLst>
        </c:ser>
        <c:ser>
          <c:idx val="2"/>
          <c:order val="2"/>
          <c:tx>
            <c:strRef>
              <c:f>Categoria!$D$2</c:f>
              <c:strCache>
                <c:ptCount val="1"/>
                <c:pt idx="0">
                  <c:v>% acumulado categoria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Categoria!$A$3:$A$11</c:f>
              <c:strCache>
                <c:ptCount val="8"/>
                <c:pt idx="0">
                  <c:v>Açougue</c:v>
                </c:pt>
                <c:pt idx="1">
                  <c:v>Bebidas</c:v>
                </c:pt>
                <c:pt idx="2">
                  <c:v>FLV</c:v>
                </c:pt>
                <c:pt idx="3">
                  <c:v>Higiene</c:v>
                </c:pt>
                <c:pt idx="4">
                  <c:v>Laticínios</c:v>
                </c:pt>
                <c:pt idx="5">
                  <c:v>Limpeza</c:v>
                </c:pt>
                <c:pt idx="6">
                  <c:v>Mercearia</c:v>
                </c:pt>
                <c:pt idx="7">
                  <c:v>Padaria</c:v>
                </c:pt>
              </c:strCache>
            </c:strRef>
          </c:cat>
          <c:val>
            <c:numRef>
              <c:f>Categoria!$D$3:$D$11</c:f>
              <c:numCache>
                <c:formatCode>0.00%</c:formatCode>
                <c:ptCount val="8"/>
                <c:pt idx="0">
                  <c:v>6.6666666666666666E-2</c:v>
                </c:pt>
                <c:pt idx="1">
                  <c:v>0.2</c:v>
                </c:pt>
                <c:pt idx="2">
                  <c:v>0.3</c:v>
                </c:pt>
                <c:pt idx="3">
                  <c:v>0.44</c:v>
                </c:pt>
                <c:pt idx="4">
                  <c:v>0.56999999999999995</c:v>
                </c:pt>
                <c:pt idx="5">
                  <c:v>0.67</c:v>
                </c:pt>
                <c:pt idx="6">
                  <c:v>0.88666666666666671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501-424F-B3D6-DB7247C255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1532060703"/>
        <c:axId val="1532061119"/>
      </c:barChart>
      <c:catAx>
        <c:axId val="1532060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32061119"/>
        <c:crosses val="autoZero"/>
        <c:auto val="1"/>
        <c:lblAlgn val="ctr"/>
        <c:lblOffset val="100"/>
        <c:noMultiLvlLbl val="0"/>
      </c:catAx>
      <c:valAx>
        <c:axId val="1532061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32060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1"/>
        <c:delete val="1"/>
      </c:legendEntry>
      <c:legendEntry>
        <c:idx val="2"/>
        <c:delete val="1"/>
      </c:legendEntry>
      <c:layout>
        <c:manualLayout>
          <c:xMode val="edge"/>
          <c:yMode val="edge"/>
          <c:x val="0.7186512219237593"/>
          <c:y val="0.46919077689061589"/>
          <c:w val="0.24446309125962912"/>
          <c:h val="8.132988251009443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[vendas_minimercado_2024 testewgrhjth.xlsx]Vendedores!Tabela dinâmica19</c:name>
    <c:fmtId val="4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Venda</a:t>
            </a:r>
            <a:r>
              <a:rPr lang="pt-BR" baseline="0"/>
              <a:t> por vendedor (2024)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00B050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00B050"/>
          </a:solidFill>
          <a:ln>
            <a:noFill/>
          </a:ln>
          <a:effectLst/>
        </c:spP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Vendedores!$B$2</c:f>
              <c:strCache>
                <c:ptCount val="1"/>
                <c:pt idx="0">
                  <c:v>Venda por vendedor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0A1B-4FA5-B461-2FF61CE6DCEC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E7CB-42E7-AB72-7E0BE521D61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Vendedores!$A$3:$A$9</c:f>
              <c:strCache>
                <c:ptCount val="6"/>
                <c:pt idx="0">
                  <c:v>Maria Costa</c:v>
                </c:pt>
                <c:pt idx="1">
                  <c:v>Pedro Rocha</c:v>
                </c:pt>
                <c:pt idx="2">
                  <c:v>Carlos Lima</c:v>
                </c:pt>
                <c:pt idx="3">
                  <c:v>Fernanda Dias</c:v>
                </c:pt>
                <c:pt idx="4">
                  <c:v>Ana Silva</c:v>
                </c:pt>
                <c:pt idx="5">
                  <c:v>João Souza</c:v>
                </c:pt>
              </c:strCache>
            </c:strRef>
          </c:cat>
          <c:val>
            <c:numRef>
              <c:f>Vendedores!$B$3:$B$9</c:f>
              <c:numCache>
                <c:formatCode>_-[$R$-416]\ * #,##0.00_-;\-[$R$-416]\ * #,##0.00_-;_-[$R$-416]\ * "-"??_-;_-@_-</c:formatCode>
                <c:ptCount val="6"/>
                <c:pt idx="0">
                  <c:v>920.68999999999983</c:v>
                </c:pt>
                <c:pt idx="1">
                  <c:v>582.66</c:v>
                </c:pt>
                <c:pt idx="2">
                  <c:v>491.79999999999995</c:v>
                </c:pt>
                <c:pt idx="3">
                  <c:v>464.31550000000004</c:v>
                </c:pt>
                <c:pt idx="4">
                  <c:v>428.05</c:v>
                </c:pt>
                <c:pt idx="5">
                  <c:v>66.337500000000006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A1B-4FA5-B461-2FF61CE6DCEC}"/>
            </c:ext>
          </c:extLst>
        </c:ser>
        <c:ser>
          <c:idx val="1"/>
          <c:order val="1"/>
          <c:tx>
            <c:strRef>
              <c:f>Vendedores!$C$2</c:f>
              <c:strCache>
                <c:ptCount val="1"/>
                <c:pt idx="0">
                  <c:v>Quantidade de vendas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Vendedores!$A$3:$A$9</c:f>
              <c:strCache>
                <c:ptCount val="6"/>
                <c:pt idx="0">
                  <c:v>Maria Costa</c:v>
                </c:pt>
                <c:pt idx="1">
                  <c:v>Pedro Rocha</c:v>
                </c:pt>
                <c:pt idx="2">
                  <c:v>Carlos Lima</c:v>
                </c:pt>
                <c:pt idx="3">
                  <c:v>Fernanda Dias</c:v>
                </c:pt>
                <c:pt idx="4">
                  <c:v>Ana Silva</c:v>
                </c:pt>
                <c:pt idx="5">
                  <c:v>João Souza</c:v>
                </c:pt>
              </c:strCache>
            </c:strRef>
          </c:cat>
          <c:val>
            <c:numRef>
              <c:f>Vendedores!$C$3:$C$9</c:f>
              <c:numCache>
                <c:formatCode>_-[$R$-416]\ * #,##0_-;\-[$R$-416]\ * #,##0_-;_-[$R$-416]\ * "-"??_-;_-@_-</c:formatCode>
                <c:ptCount val="6"/>
                <c:pt idx="0">
                  <c:v>5</c:v>
                </c:pt>
                <c:pt idx="1">
                  <c:v>1</c:v>
                </c:pt>
                <c:pt idx="2">
                  <c:v>3</c:v>
                </c:pt>
                <c:pt idx="3">
                  <c:v>6</c:v>
                </c:pt>
                <c:pt idx="4">
                  <c:v>2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A1B-4FA5-B461-2FF61CE6DCEC}"/>
            </c:ext>
          </c:extLst>
        </c:ser>
        <c:ser>
          <c:idx val="2"/>
          <c:order val="2"/>
          <c:tx>
            <c:strRef>
              <c:f>Vendedores!$D$2</c:f>
              <c:strCache>
                <c:ptCount val="1"/>
                <c:pt idx="0">
                  <c:v>% venda por vendedor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Vendedores!$A$3:$A$9</c:f>
              <c:strCache>
                <c:ptCount val="6"/>
                <c:pt idx="0">
                  <c:v>Maria Costa</c:v>
                </c:pt>
                <c:pt idx="1">
                  <c:v>Pedro Rocha</c:v>
                </c:pt>
                <c:pt idx="2">
                  <c:v>Carlos Lima</c:v>
                </c:pt>
                <c:pt idx="3">
                  <c:v>Fernanda Dias</c:v>
                </c:pt>
                <c:pt idx="4">
                  <c:v>Ana Silva</c:v>
                </c:pt>
                <c:pt idx="5">
                  <c:v>João Souza</c:v>
                </c:pt>
              </c:strCache>
            </c:strRef>
          </c:cat>
          <c:val>
            <c:numRef>
              <c:f>Vendedores!$D$3:$D$9</c:f>
              <c:numCache>
                <c:formatCode>0.00%</c:formatCode>
                <c:ptCount val="6"/>
                <c:pt idx="0">
                  <c:v>0.31169120467403083</c:v>
                </c:pt>
                <c:pt idx="1">
                  <c:v>0.19725423032222661</c:v>
                </c:pt>
                <c:pt idx="2">
                  <c:v>0.16649440578119495</c:v>
                </c:pt>
                <c:pt idx="3">
                  <c:v>0.15718977890910621</c:v>
                </c:pt>
                <c:pt idx="4">
                  <c:v>0.14491242455193271</c:v>
                </c:pt>
                <c:pt idx="5">
                  <c:v>2.2457955761508788E-2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A1B-4FA5-B461-2FF61CE6DCEC}"/>
            </c:ext>
          </c:extLst>
        </c:ser>
        <c:ser>
          <c:idx val="3"/>
          <c:order val="3"/>
          <c:tx>
            <c:strRef>
              <c:f>Vendedores!$E$2</c:f>
              <c:strCache>
                <c:ptCount val="1"/>
                <c:pt idx="0">
                  <c:v>% acumulada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Vendedores!$A$3:$A$9</c:f>
              <c:strCache>
                <c:ptCount val="6"/>
                <c:pt idx="0">
                  <c:v>Maria Costa</c:v>
                </c:pt>
                <c:pt idx="1">
                  <c:v>Pedro Rocha</c:v>
                </c:pt>
                <c:pt idx="2">
                  <c:v>Carlos Lima</c:v>
                </c:pt>
                <c:pt idx="3">
                  <c:v>Fernanda Dias</c:v>
                </c:pt>
                <c:pt idx="4">
                  <c:v>Ana Silva</c:v>
                </c:pt>
                <c:pt idx="5">
                  <c:v>João Souza</c:v>
                </c:pt>
              </c:strCache>
            </c:strRef>
          </c:cat>
          <c:val>
            <c:numRef>
              <c:f>Vendedores!$E$3:$E$9</c:f>
              <c:numCache>
                <c:formatCode>0.00%</c:formatCode>
                <c:ptCount val="6"/>
                <c:pt idx="0">
                  <c:v>0.31169120467403083</c:v>
                </c:pt>
                <c:pt idx="1">
                  <c:v>0.50894543499625744</c:v>
                </c:pt>
                <c:pt idx="2">
                  <c:v>0.67543984077745245</c:v>
                </c:pt>
                <c:pt idx="3">
                  <c:v>0.83262961968655858</c:v>
                </c:pt>
                <c:pt idx="4">
                  <c:v>0.97754204423849134</c:v>
                </c:pt>
                <c:pt idx="5">
                  <c:v>1.0000000000000002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A1B-4FA5-B461-2FF61CE6DC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48594703"/>
        <c:axId val="48595951"/>
      </c:barChart>
      <c:catAx>
        <c:axId val="485947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8595951"/>
        <c:crosses val="autoZero"/>
        <c:auto val="1"/>
        <c:lblAlgn val="ctr"/>
        <c:lblOffset val="100"/>
        <c:noMultiLvlLbl val="0"/>
      </c:catAx>
      <c:valAx>
        <c:axId val="48595951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R$-416]\ * #,##0.00_-;\-[$R$-416]\ * #,##0.00_-;_-[$R$-416]\ * &quot;-&quot;??_-;_-@_-" sourceLinked="1"/>
        <c:majorTickMark val="none"/>
        <c:minorTickMark val="none"/>
        <c:tickLblPos val="nextTo"/>
        <c:crossAx val="485947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[vendas_minimercado_2024 testewgrhjth.xlsx]Loja!Tabela dinâmica21</c:name>
    <c:fmtId val="1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Loja!$B$1</c:f>
              <c:strCache>
                <c:ptCount val="1"/>
                <c:pt idx="0">
                  <c:v>Venda por loja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805-4FBB-B451-C036BF16189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805-4FBB-B451-C036BF16189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805-4FBB-B451-C036BF16189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Loja!$A$2:$A$5</c:f>
              <c:strCache>
                <c:ptCount val="3"/>
                <c:pt idx="0">
                  <c:v>Loja Centro</c:v>
                </c:pt>
                <c:pt idx="1">
                  <c:v>Loja Norte</c:v>
                </c:pt>
                <c:pt idx="2">
                  <c:v>Loja Sul</c:v>
                </c:pt>
              </c:strCache>
            </c:strRef>
          </c:cat>
          <c:val>
            <c:numRef>
              <c:f>Loja!$B$2:$B$5</c:f>
              <c:numCache>
                <c:formatCode>_-[$R$-416]\ * #,##0.00_-;\-[$R$-416]\ * #,##0.00_-;_-[$R$-416]\ * "-"??_-;_-@_-</c:formatCode>
                <c:ptCount val="3"/>
                <c:pt idx="0">
                  <c:v>18995.723000000002</c:v>
                </c:pt>
                <c:pt idx="1">
                  <c:v>22588.358000000004</c:v>
                </c:pt>
                <c:pt idx="2">
                  <c:v>18755.72549999999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805-4FBB-B451-C036BF161892}"/>
            </c:ext>
          </c:extLst>
        </c:ser>
        <c:ser>
          <c:idx val="1"/>
          <c:order val="1"/>
          <c:tx>
            <c:strRef>
              <c:f>Loja!$C$1</c:f>
              <c:strCache>
                <c:ptCount val="1"/>
                <c:pt idx="0">
                  <c:v>% vendas por loja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0805-4FBB-B451-C036BF16189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0805-4FBB-B451-C036BF16189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0805-4FBB-B451-C036BF161892}"/>
              </c:ext>
            </c:extLst>
          </c:dPt>
          <c:cat>
            <c:strRef>
              <c:f>Loja!$A$2:$A$5</c:f>
              <c:strCache>
                <c:ptCount val="3"/>
                <c:pt idx="0">
                  <c:v>Loja Centro</c:v>
                </c:pt>
                <c:pt idx="1">
                  <c:v>Loja Norte</c:v>
                </c:pt>
                <c:pt idx="2">
                  <c:v>Loja Sul</c:v>
                </c:pt>
              </c:strCache>
            </c:strRef>
          </c:cat>
          <c:val>
            <c:numRef>
              <c:f>Loja!$C$2:$C$5</c:f>
              <c:numCache>
                <c:formatCode>0.00%</c:formatCode>
                <c:ptCount val="3"/>
                <c:pt idx="0">
                  <c:v>0.31481246132269258</c:v>
                </c:pt>
                <c:pt idx="1">
                  <c:v>0.3743525097316977</c:v>
                </c:pt>
                <c:pt idx="2">
                  <c:v>0.31083502894560977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0805-4FBB-B451-C036BF1618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[vendas_minimercado_2024 testewgrhjth.xlsx]Venda por vendedor!Tabela dinâmica20</c:name>
    <c:fmtId val="4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Venda por vendedor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'Venda por vendedor'!$B$1:$B$2</c:f>
              <c:strCache>
                <c:ptCount val="1"/>
                <c:pt idx="0">
                  <c:v>Carlos Lima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'Venda por vendedor'!$A$3:$A$15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'Venda por vendedor'!$B$3:$B$15</c:f>
              <c:numCache>
                <c:formatCode>_-[$R$-416]\ * #,##0.00_-;\-[$R$-416]\ * #,##0.00_-;_-[$R$-416]\ * "-"??_-;_-@_-</c:formatCode>
                <c:ptCount val="12"/>
                <c:pt idx="0">
                  <c:v>189.54000000000002</c:v>
                </c:pt>
                <c:pt idx="1">
                  <c:v>695.8</c:v>
                </c:pt>
                <c:pt idx="2">
                  <c:v>459.08</c:v>
                </c:pt>
                <c:pt idx="3">
                  <c:v>491.79999999999995</c:v>
                </c:pt>
                <c:pt idx="4">
                  <c:v>37.5</c:v>
                </c:pt>
                <c:pt idx="5">
                  <c:v>1597.922</c:v>
                </c:pt>
                <c:pt idx="6">
                  <c:v>816.5</c:v>
                </c:pt>
                <c:pt idx="7">
                  <c:v>845.73249999999996</c:v>
                </c:pt>
                <c:pt idx="8">
                  <c:v>126.28999999999999</c:v>
                </c:pt>
                <c:pt idx="9">
                  <c:v>342.90000000000003</c:v>
                </c:pt>
                <c:pt idx="10">
                  <c:v>1956.2000000000003</c:v>
                </c:pt>
                <c:pt idx="11">
                  <c:v>654.64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927-4CB6-8D06-9FFB397561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98198655"/>
        <c:axId val="1698198239"/>
      </c:lineChart>
      <c:catAx>
        <c:axId val="16981986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98198239"/>
        <c:crosses val="autoZero"/>
        <c:auto val="1"/>
        <c:lblAlgn val="ctr"/>
        <c:lblOffset val="100"/>
        <c:noMultiLvlLbl val="0"/>
      </c:catAx>
      <c:valAx>
        <c:axId val="1698198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R$-416]\ * #,##0.00_-;\-[$R$-416]\ * #,##0.00_-;_-[$R$-416]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98198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0</xdr:row>
      <xdr:rowOff>0</xdr:rowOff>
    </xdr:from>
    <xdr:to>
      <xdr:col>10</xdr:col>
      <xdr:colOff>369920</xdr:colOff>
      <xdr:row>14</xdr:row>
      <xdr:rowOff>21772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948ECD0-F8D9-4C9A-8362-A4810F509D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340956</xdr:colOff>
      <xdr:row>18</xdr:row>
      <xdr:rowOff>6999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638810C-D3EA-4271-B2D5-B8160C299A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11</xdr:row>
      <xdr:rowOff>8554</xdr:rowOff>
    </xdr:from>
    <xdr:to>
      <xdr:col>3</xdr:col>
      <xdr:colOff>1438468</xdr:colOff>
      <xdr:row>24</xdr:row>
      <xdr:rowOff>116633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8D35C67-B112-40E5-9FEB-C11E0C27F2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PrintsWithSheet="0"/>
  </xdr:twoCellAnchor>
  <xdr:twoCellAnchor editAs="oneCell">
    <xdr:from>
      <xdr:col>4</xdr:col>
      <xdr:colOff>0</xdr:colOff>
      <xdr:row>1</xdr:row>
      <xdr:rowOff>0</xdr:rowOff>
    </xdr:from>
    <xdr:to>
      <xdr:col>9</xdr:col>
      <xdr:colOff>285750</xdr:colOff>
      <xdr:row>8</xdr:row>
      <xdr:rowOff>38100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3" name="Mês/Ano 1">
              <a:extLst>
                <a:ext uri="{FF2B5EF4-FFF2-40B4-BE49-F238E27FC236}">
                  <a16:creationId xmlns:a16="http://schemas.microsoft.com/office/drawing/2014/main" id="{7D340399-81C6-4CD1-A1D2-C7836720A0B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Mês/Ano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05350" y="190500"/>
              <a:ext cx="3333750" cy="1371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Linha do tempo: Funciona em Excel 2013 ou superior. Não mover ou redimensionar.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7774</xdr:colOff>
      <xdr:row>10</xdr:row>
      <xdr:rowOff>8553</xdr:rowOff>
    </xdr:from>
    <xdr:to>
      <xdr:col>5</xdr:col>
      <xdr:colOff>85724</xdr:colOff>
      <xdr:row>24</xdr:row>
      <xdr:rowOff>30325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D9B4D3E-0598-4015-A7BD-6A46AD5EB5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1</xdr:row>
      <xdr:rowOff>0</xdr:rowOff>
    </xdr:from>
    <xdr:to>
      <xdr:col>8</xdr:col>
      <xdr:colOff>4068</xdr:colOff>
      <xdr:row>9</xdr:row>
      <xdr:rowOff>30713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Meses">
              <a:extLst>
                <a:ext uri="{FF2B5EF4-FFF2-40B4-BE49-F238E27FC236}">
                  <a16:creationId xmlns:a16="http://schemas.microsoft.com/office/drawing/2014/main" id="{CCB07B94-786B-47CE-9049-D92D5978D56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se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895975" y="190500"/>
              <a:ext cx="1832868" cy="155471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83976</xdr:colOff>
      <xdr:row>5</xdr:row>
      <xdr:rowOff>47625</xdr:rowOff>
    </xdr:from>
    <xdr:to>
      <xdr:col>3</xdr:col>
      <xdr:colOff>266700</xdr:colOff>
      <xdr:row>17</xdr:row>
      <xdr:rowOff>88057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664EEE8-153D-426F-B03A-0BA5E33556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7</xdr:row>
      <xdr:rowOff>136894</xdr:rowOff>
    </xdr:from>
    <xdr:to>
      <xdr:col>10</xdr:col>
      <xdr:colOff>423106</xdr:colOff>
      <xdr:row>15</xdr:row>
      <xdr:rowOff>0</xdr:rowOff>
    </xdr:to>
    <mc:AlternateContent xmlns:mc="http://schemas.openxmlformats.org/markup-compatibility/2006">
      <mc:Choice xmlns:tsle="http://schemas.microsoft.com/office/drawing/2012/timeslicer" Requires="tsle">
        <xdr:graphicFrame macro="">
          <xdr:nvGraphicFramePr>
            <xdr:cNvPr id="2" name="Mês/Ano">
              <a:extLst>
                <a:ext uri="{FF2B5EF4-FFF2-40B4-BE49-F238E27FC236}">
                  <a16:creationId xmlns:a16="http://schemas.microsoft.com/office/drawing/2014/main" id="{9579981F-F338-4DF8-A8DA-0D887336C54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Mês/An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191375" y="1470394"/>
              <a:ext cx="1642306" cy="138710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Linha do tempo: Funciona em Excel 2013 ou superior. Não mover ou redimensionar.</a:t>
              </a:r>
            </a:p>
          </xdr:txBody>
        </xdr:sp>
      </mc:Fallback>
    </mc:AlternateContent>
    <xdr:clientData/>
  </xdr:twoCellAnchor>
  <xdr:twoCellAnchor>
    <xdr:from>
      <xdr:col>0</xdr:col>
      <xdr:colOff>0</xdr:colOff>
      <xdr:row>15</xdr:row>
      <xdr:rowOff>0</xdr:rowOff>
    </xdr:from>
    <xdr:to>
      <xdr:col>8</xdr:col>
      <xdr:colOff>9525</xdr:colOff>
      <xdr:row>27</xdr:row>
      <xdr:rowOff>177653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B490220-CAB5-4668-A1FE-707B4EA652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io Souza" refreshedDate="46115.46522233796" createdVersion="7" refreshedVersion="7" minRefreshableVersion="3" recordCount="300" xr:uid="{ACDCDE0A-9A7E-4840-A352-DFCC7716C6E2}">
  <cacheSource type="worksheet">
    <worksheetSource name="Tabela1_2"/>
  </cacheSource>
  <cacheFields count="17">
    <cacheField name="ID" numFmtId="0">
      <sharedItems containsSemiMixedTypes="0" containsString="0" containsNumber="1" containsInteger="1" minValue="1" maxValue="300"/>
    </cacheField>
    <cacheField name="Data" numFmtId="14">
      <sharedItems containsSemiMixedTypes="0" containsNonDate="0" containsDate="1" containsString="0" minDate="2024-01-01T00:00:00" maxDate="2024-12-29T00:00:00"/>
    </cacheField>
    <cacheField name="Faltou data?" numFmtId="0">
      <sharedItems/>
    </cacheField>
    <cacheField name="Produto" numFmtId="0">
      <sharedItems count="49">
        <s v="Amaciante Comfort"/>
        <s v="Energético Monster"/>
        <s v="Molho de Tomate Heinz"/>
        <s v="Açúcar União"/>
        <s v="Maçã Fuji"/>
        <s v="Refrigerante Guaraná"/>
        <s v="Creme Dental Colgate"/>
        <s v="Detergente Ypê"/>
        <s v="Queijo Mussarela Polenghi"/>
        <s v="Fralda Pampers"/>
        <s v="Pão de Forma Wickbold"/>
        <s v="Cerveja Brahma Lata"/>
        <s v="Pão Francês"/>
        <s v="Papel Higiênico Neve"/>
        <s v="Sal Refinado Cisne"/>
        <s v="Shampoo Seda"/>
        <s v="Condicionador Seda"/>
        <s v="Achocolatado Nescau"/>
        <s v="Suco Del Valle"/>
        <s v="Sabonete Dove"/>
        <s v="Tomate Italiano"/>
        <s v="Feijão Carioca Camil"/>
        <s v="Bolo de Chocolate"/>
        <s v="Cerveja Heineken Long Neck"/>
        <s v="Manteiga Aviação"/>
        <s v="Desinfetante Pinho Sol"/>
        <s v="Croissant"/>
        <s v="Leite Integral Italac"/>
        <s v="Leite Desnatado Italac"/>
        <s v="Feijão Preto Camil"/>
        <s v="Alface Crespa"/>
        <s v="Requeijão Catupiry"/>
        <s v="Carne Moída"/>
        <s v="Picanha Bovina"/>
        <s v="Batata Inglesa"/>
        <s v="Café Pilão"/>
        <s v="Iogurte Natural Danone"/>
        <s v="Arroz Tio João"/>
        <s v="Refrigerante Coca-Cola"/>
        <s v="Biscoito Club Social"/>
        <s v="Banana Prata"/>
        <s v="Frango Inteiro Sadia"/>
        <s v="Esponja Scotch-Brite"/>
        <s v="Sabão em Pó Omo"/>
        <s v="Biscoito Oreo"/>
        <s v="Linguiça Toscana"/>
        <s v="Macarrão Renata"/>
        <s v="Óleo de Soja Liza"/>
        <s v="Água Mineral Crystal"/>
      </sharedItems>
    </cacheField>
    <cacheField name="Categoria" numFmtId="0">
      <sharedItems count="8">
        <s v="Limpeza"/>
        <s v="Bebidas"/>
        <s v="Mercearia"/>
        <s v="FLV"/>
        <s v="Higiene"/>
        <s v="Laticínios"/>
        <s v="Padaria"/>
        <s v="Açougue"/>
      </sharedItems>
    </cacheField>
    <cacheField name="Gramagem" numFmtId="0">
      <sharedItems/>
    </cacheField>
    <cacheField name="Preço_Unit (R$)" numFmtId="0">
      <sharedItems containsSemiMixedTypes="0" containsString="0" containsNumber="1" minValue="0.75" maxValue="89.9"/>
    </cacheField>
    <cacheField name="Preço_Unit (Observação)" numFmtId="0">
      <sharedItems/>
    </cacheField>
    <cacheField name="Desconto (R$)" numFmtId="0">
      <sharedItems containsSemiMixedTypes="0" containsString="0" containsNumber="1" minValue="0" maxValue="148.22999999999999"/>
    </cacheField>
    <cacheField name="Vendedor" numFmtId="0">
      <sharedItems count="6">
        <s v="Ana Silva"/>
        <s v="João Souza"/>
        <s v="Maria Costa"/>
        <s v="Fernanda Dias"/>
        <s v="Carlos Lima"/>
        <s v="Pedro Rocha"/>
      </sharedItems>
    </cacheField>
    <cacheField name="Loja" numFmtId="0">
      <sharedItems count="3">
        <s v="Loja Centro"/>
        <s v="Loja Sul"/>
        <s v="Loja Norte"/>
      </sharedItems>
    </cacheField>
    <cacheField name="Mês/Ano" numFmtId="14">
      <sharedItems containsSemiMixedTypes="0" containsNonDate="0" containsDate="1" containsString="0" minDate="2024-01-01T00:00:00" maxDate="2024-12-02T00:00:00" count="12">
        <d v="2024-12-01T00:00:00"/>
        <d v="2024-11-01T00:00:00"/>
        <d v="2024-10-01T00:00:00"/>
        <d v="2024-09-01T00:00:00"/>
        <d v="2024-08-01T00:00:00"/>
        <d v="2024-07-01T00:00:00"/>
        <d v="2024-06-01T00:00:00"/>
        <d v="2024-05-01T00:00:00"/>
        <d v="2024-04-01T00:00:00"/>
        <d v="2024-03-01T00:00:00"/>
        <d v="2024-02-01T00:00:00"/>
        <d v="2024-01-01T00:00:00"/>
      </sharedItems>
      <fieldGroup par="16" base="11">
        <rangePr groupBy="days" startDate="2024-01-01T00:00:00" endDate="2024-12-02T00:00:00"/>
        <groupItems count="368">
          <s v="&lt;01/01/2024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02/12/2024"/>
        </groupItems>
      </fieldGroup>
    </cacheField>
    <cacheField name="Mês_Num" numFmtId="0">
      <sharedItems containsSemiMixedTypes="0" containsString="0" containsNumber="1" containsInteger="1" minValue="1" maxValue="12" count="12">
        <n v="12"/>
        <n v="11"/>
        <n v="10"/>
        <n v="9"/>
        <n v="8"/>
        <n v="7"/>
        <n v="6"/>
        <n v="5"/>
        <n v="4"/>
        <n v="3"/>
        <n v="2"/>
        <n v="1"/>
      </sharedItems>
    </cacheField>
    <cacheField name="Ano" numFmtId="0">
      <sharedItems containsSemiMixedTypes="0" containsString="0" containsNumber="1" containsInteger="1" minValue="2024" maxValue="2024"/>
    </cacheField>
    <cacheField name="Quantidade" numFmtId="0">
      <sharedItems containsSemiMixedTypes="0" containsString="0" containsNumber="1" containsInteger="1" minValue="0" maxValue="30"/>
    </cacheField>
    <cacheField name="Total" numFmtId="0">
      <sharedItems containsSemiMixedTypes="0" containsString="0" containsNumber="1" minValue="0.75" maxValue="2337.4" count="267">
        <n v="25.8"/>
        <n v="154.70000000000002"/>
        <n v="9.8000000000000007"/>
        <n v="58.5"/>
        <n v="99.54"/>
        <n v="180.88"/>
        <n v="200.10000000000002"/>
        <n v="103.2"/>
        <n v="141.60000000000002"/>
        <n v="68.399999999999991"/>
        <n v="65"/>
        <n v="473.76"/>
        <n v="723.8"/>
        <n v="1592.1"/>
        <n v="224.28"/>
        <n v="130.9"/>
        <n v="11.115"/>
        <n v="7.8374999999999995"/>
        <n v="278.59999999999997"/>
        <n v="69.599999999999994"/>
        <n v="402.3"/>
        <n v="26.700000000000003"/>
        <n v="14.9"/>
        <n v="213.3"/>
        <n v="254.79000000000002"/>
        <n v="3"/>
        <n v="200"/>
        <n v="5.6050000000000004"/>
        <n v="74.48"/>
        <n v="8.5499999999999989"/>
        <n v="5.3100000000000005"/>
        <n v="16.149999999999999"/>
        <n v="572.69999999999993"/>
        <n v="2.9"/>
        <n v="31.6"/>
        <n v="208.33499999999998"/>
        <n v="29.8"/>
        <n v="11.8"/>
        <n v="134.995"/>
        <n v="112.5"/>
        <n v="220.59000000000003"/>
        <n v="58.410000000000004"/>
        <n v="39.200000000000003"/>
        <n v="187.625"/>
        <n v="100.30000000000001"/>
        <n v="21"/>
        <n v="1262.7"/>
        <n v="12.9"/>
        <n v="103.5"/>
        <n v="99.6"/>
        <n v="335.40000000000003"/>
        <n v="253.45999999999998"/>
        <n v="1334.07"/>
        <n v="107.80000000000001"/>
        <n v="63.8"/>
        <n v="108.9"/>
        <n v="559.29999999999995"/>
        <n v="257.40000000000003"/>
        <n v="304.46999999999997"/>
        <n v="496.75499999999994"/>
        <n v="113.76"/>
        <n v="189.60000000000002"/>
        <n v="988.19999999999993"/>
        <n v="683.24"/>
        <n v="4.5"/>
        <n v="190.4"/>
        <n v="562.59"/>
        <n v="372.5"/>
        <n v="129.80000000000001"/>
        <n v="125.685"/>
        <n v="93.100000000000009"/>
        <n v="85.5"/>
        <n v="165.20000000000002"/>
        <n v="567"/>
        <n v="120.87"/>
        <n v="278.64000000000004"/>
        <n v="5.9"/>
        <n v="82.649999999999991"/>
        <n v="118"/>
        <n v="258"/>
        <n v="690.9"/>
        <n v="12.600000000000001"/>
        <n v="2337.4"/>
        <n v="33.93"/>
        <n v="126"/>
        <n v="2.25"/>
        <n v="605.06999999999994"/>
        <n v="212.5"/>
        <n v="168.75"/>
        <n v="147.5"/>
        <n v="41.895000000000003"/>
        <n v="87.5"/>
        <n v="2.61"/>
        <n v="81"/>
        <n v="35.400000000000006"/>
        <n v="40.5"/>
        <n v="17"/>
        <n v="340.2"/>
        <n v="134.1"/>
        <n v="110.29500000000002"/>
        <n v="28.025000000000002"/>
        <n v="19.567499999999999"/>
        <n v="107.1"/>
        <n v="99"/>
        <n v="781.375"/>
        <n v="921.19999999999993"/>
        <n v="128.91500000000002"/>
        <n v="6.75"/>
        <n v="127.5"/>
        <n v="90.720000000000013"/>
        <n v="181.22600000000003"/>
        <n v="502.74"/>
        <n v="117.99000000000001"/>
        <n v="132.75"/>
        <n v="35.814999999999998"/>
        <n v="52.199999999999996"/>
        <n v="9.1999999999999993"/>
        <n v="53.1"/>
        <n v="121.5"/>
        <n v="15.6"/>
        <n v="251.89999999999998"/>
        <n v="159.30000000000001"/>
        <n v="109.2"/>
        <n v="641.19999999999993"/>
        <n v="453.59999999999997"/>
        <n v="19.8"/>
        <n v="100.89000000000001"/>
        <n v="93.5"/>
        <n v="358.2"/>
        <n v="63.2"/>
        <n v="104.49"/>
        <n v="415.79999999999995"/>
        <n v="5"/>
        <n v="123.31"/>
        <n v="12.149999999999999"/>
        <n v="74.5"/>
        <n v="31.32"/>
        <n v="42.5"/>
        <n v="267.3"/>
        <n v="181.70000000000002"/>
        <n v="128.25"/>
        <n v="204.70000000000002"/>
        <n v="117.45"/>
        <n v="261.25"/>
        <n v="229.10000000000002"/>
        <n v="70.800000000000011"/>
        <n v="473.09999999999997"/>
        <n v="142.10000000000002"/>
        <n v="8.25"/>
        <n v="110.60000000000001"/>
        <n v="153.4"/>
        <n v="3.9"/>
        <n v="548.245"/>
        <n v="396.9"/>
        <n v="152.63300000000001"/>
        <n v="170.422"/>
        <n v="83.300000000000011"/>
        <n v="375.48"/>
        <n v="768.6"/>
        <n v="28"/>
        <n v="58"/>
        <n v="51"/>
        <n v="326.32499999999999"/>
        <n v="96.600000000000009"/>
        <n v="12.5"/>
        <n v="23.700000000000003"/>
        <n v="141.9"/>
        <n v="90.3"/>
        <n v="14.04"/>
        <n v="131.6"/>
        <n v="160.20000000000002"/>
        <n v="218.02499999999998"/>
        <n v="63.7"/>
        <n v="493.02"/>
        <n v="396.34000000000003"/>
        <n v="57.5"/>
        <n v="15.959999999999999"/>
        <n v="425.79"/>
        <n v="19.237499999999997"/>
        <n v="94.05"/>
        <n v="30.87"/>
        <n v="37.5"/>
        <n v="64.900000000000006"/>
        <n v="447"/>
        <n v="112.10000000000001"/>
        <n v="126.4"/>
        <n v="43.5"/>
        <n v="14.700000000000001"/>
        <n v="49.14"/>
        <n v="8.6999999999999993"/>
        <n v="302.39999999999998"/>
        <n v="149"/>
        <n v="301.86"/>
        <n v="1.5"/>
        <n v="34.019999999999996"/>
        <n v="81.27"/>
        <n v="111.51"/>
        <n v="472.49999999999994"/>
        <n v="89.68"/>
        <n v="582.66"/>
        <n v="8.7675000000000001"/>
        <n v="274.79999999999995"/>
        <n v="53.508000000000003"/>
        <n v="316.54000000000002"/>
        <n v="68"/>
        <n v="102.60000000000001"/>
        <n v="9"/>
        <n v="230.29999999999998"/>
        <n v="240.63499999999999"/>
        <n v="0.75"/>
        <n v="1451.885"/>
        <n v="11.340000000000002"/>
        <n v="11.399999999999999"/>
        <n v="78.470000000000013"/>
        <n v="187.74"/>
        <n v="124.2"/>
        <n v="22.9"/>
        <n v="73.5"/>
        <n v="398"/>
        <n v="171.57000000000002"/>
        <n v="59.5"/>
        <n v="109.35000000000001"/>
        <n v="62.4"/>
        <n v="15.75"/>
        <n v="2.5"/>
        <n v="64.5"/>
        <n v="197.64"/>
        <n v="149.39999999999998"/>
        <n v="178.5"/>
        <n v="526.69999999999993"/>
        <n v="196.07999999999998"/>
        <n v="68.699999999999989"/>
        <n v="60.515000000000001"/>
        <n v="102.7"/>
        <n v="245.1"/>
        <n v="111.14999999999999"/>
        <n v="139.29999999999998"/>
        <n v="35"/>
        <n v="180.6"/>
        <n v="132.30000000000001"/>
        <n v="39.799999999999997"/>
        <n v="14.850000000000001"/>
        <n v="47.2"/>
        <n v="49"/>
        <n v="105.3"/>
        <n v="174.15"/>
        <n v="49.77"/>
        <n v="106.92000000000002"/>
        <n v="117"/>
        <n v="330.88499999999999"/>
        <n v="76.7"/>
        <n v="63.175000000000004"/>
        <n v="102"/>
        <n v="71.400000000000006"/>
        <n v="59"/>
        <n v="31.2"/>
        <n v="68.600000000000009"/>
        <n v="82.800000000000011"/>
        <n v="170.64000000000001"/>
        <n v="18.899999999999999"/>
        <n v="69.919999999999987"/>
        <n v="25.935000000000002"/>
        <n v="88.2"/>
        <n v="357.6"/>
        <n v="664.09999999999991"/>
        <n v="98.28"/>
        <n v="33.75"/>
      </sharedItems>
    </cacheField>
    <cacheField name="Meses" numFmtId="0" databaseField="0">
      <fieldGroup base="11">
        <rangePr groupBy="months" startDate="2024-01-01T00:00:00" endDate="2024-12-02T00:00:00"/>
        <groupItems count="14">
          <s v="&lt;01/01/2024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02/12/2024"/>
        </groupItems>
      </fieldGroup>
    </cacheField>
  </cacheFields>
  <extLst>
    <ext xmlns:x14="http://schemas.microsoft.com/office/spreadsheetml/2009/9/main" uri="{725AE2AE-9491-48be-B2B4-4EB974FC3084}">
      <x14:pivotCacheDefinition pivotCacheId="14048435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n v="42"/>
    <d v="2024-12-28T00:00:00"/>
    <s v="Não"/>
    <x v="0"/>
    <x v="0"/>
    <s v="1l"/>
    <n v="12.9"/>
    <s v="OK"/>
    <n v="0"/>
    <x v="0"/>
    <x v="0"/>
    <x v="0"/>
    <x v="0"/>
    <n v="2024"/>
    <n v="2"/>
    <x v="0"/>
  </r>
  <r>
    <n v="207"/>
    <d v="2024-12-27T00:00:00"/>
    <s v="Não"/>
    <x v="1"/>
    <x v="1"/>
    <s v="473ml"/>
    <n v="11.9"/>
    <s v="OK"/>
    <n v="0"/>
    <x v="1"/>
    <x v="0"/>
    <x v="0"/>
    <x v="0"/>
    <n v="2024"/>
    <n v="13"/>
    <x v="1"/>
  </r>
  <r>
    <n v="12"/>
    <d v="2024-12-26T00:00:00"/>
    <s v="Não"/>
    <x v="2"/>
    <x v="2"/>
    <s v="340g"/>
    <n v="4.9000000000000004"/>
    <s v="OK"/>
    <n v="0"/>
    <x v="2"/>
    <x v="0"/>
    <x v="0"/>
    <x v="0"/>
    <n v="2024"/>
    <n v="2"/>
    <x v="2"/>
  </r>
  <r>
    <n v="84"/>
    <d v="2024-12-25T00:00:00"/>
    <s v="Não"/>
    <x v="3"/>
    <x v="2"/>
    <s v="1kg"/>
    <n v="4.5"/>
    <s v="OK"/>
    <n v="0"/>
    <x v="1"/>
    <x v="0"/>
    <x v="0"/>
    <x v="0"/>
    <n v="2024"/>
    <n v="13"/>
    <x v="3"/>
  </r>
  <r>
    <n v="247"/>
    <d v="2024-12-22T00:00:00"/>
    <s v="Não"/>
    <x v="4"/>
    <x v="3"/>
    <s v="kg"/>
    <n v="7.9"/>
    <s v="OK"/>
    <n v="11.06"/>
    <x v="3"/>
    <x v="1"/>
    <x v="0"/>
    <x v="0"/>
    <n v="2024"/>
    <n v="12"/>
    <x v="4"/>
  </r>
  <r>
    <n v="107"/>
    <d v="2024-12-22T00:00:00"/>
    <s v="Não"/>
    <x v="1"/>
    <x v="1"/>
    <s v="473ml"/>
    <n v="11.9"/>
    <s v="OK"/>
    <n v="9.52"/>
    <x v="4"/>
    <x v="0"/>
    <x v="0"/>
    <x v="0"/>
    <n v="2024"/>
    <n v="15"/>
    <x v="5"/>
  </r>
  <r>
    <n v="216"/>
    <d v="2024-12-21T00:00:00"/>
    <s v="Não"/>
    <x v="5"/>
    <x v="1"/>
    <s v="2l"/>
    <n v="6.9"/>
    <s v="OK"/>
    <n v="0"/>
    <x v="0"/>
    <x v="2"/>
    <x v="0"/>
    <x v="0"/>
    <n v="2024"/>
    <n v="29"/>
    <x v="6"/>
  </r>
  <r>
    <n v="137"/>
    <d v="2024-12-19T00:00:00"/>
    <s v="Não"/>
    <x v="0"/>
    <x v="0"/>
    <s v="1l"/>
    <n v="12.9"/>
    <s v="OK"/>
    <n v="0"/>
    <x v="3"/>
    <x v="2"/>
    <x v="0"/>
    <x v="0"/>
    <n v="2024"/>
    <n v="8"/>
    <x v="7"/>
  </r>
  <r>
    <n v="93"/>
    <d v="2024-12-17T00:00:00"/>
    <s v="Não"/>
    <x v="6"/>
    <x v="4"/>
    <s v="90g"/>
    <n v="5.9"/>
    <s v="OK"/>
    <n v="0"/>
    <x v="2"/>
    <x v="2"/>
    <x v="0"/>
    <x v="0"/>
    <n v="2024"/>
    <n v="24"/>
    <x v="8"/>
  </r>
  <r>
    <n v="264"/>
    <d v="2024-12-17T00:00:00"/>
    <s v="Não"/>
    <x v="3"/>
    <x v="2"/>
    <s v="1kg"/>
    <n v="4.5"/>
    <s v="OK"/>
    <n v="3.6"/>
    <x v="0"/>
    <x v="0"/>
    <x v="0"/>
    <x v="0"/>
    <n v="2024"/>
    <n v="15"/>
    <x v="9"/>
  </r>
  <r>
    <n v="138"/>
    <d v="2024-12-16T00:00:00"/>
    <s v="Não"/>
    <x v="7"/>
    <x v="0"/>
    <s v="500ml"/>
    <n v="2.5"/>
    <s v="OK"/>
    <n v="0"/>
    <x v="5"/>
    <x v="0"/>
    <x v="0"/>
    <x v="0"/>
    <n v="2024"/>
    <n v="26"/>
    <x v="10"/>
  </r>
  <r>
    <n v="220"/>
    <d v="2024-12-15T00:00:00"/>
    <s v="Não"/>
    <x v="8"/>
    <x v="5"/>
    <s v="kg"/>
    <n v="32.9"/>
    <s v="OK"/>
    <n v="52.64"/>
    <x v="4"/>
    <x v="0"/>
    <x v="0"/>
    <x v="0"/>
    <n v="2024"/>
    <n v="14"/>
    <x v="11"/>
  </r>
  <r>
    <n v="80"/>
    <d v="2024-12-15T00:00:00"/>
    <s v="Não"/>
    <x v="8"/>
    <x v="5"/>
    <s v="kg"/>
    <n v="32.9"/>
    <s v="OK"/>
    <n v="0"/>
    <x v="2"/>
    <x v="1"/>
    <x v="0"/>
    <x v="0"/>
    <n v="2024"/>
    <n v="22"/>
    <x v="12"/>
  </r>
  <r>
    <n v="98"/>
    <d v="2024-12-12T00:00:00"/>
    <s v="Não"/>
    <x v="9"/>
    <x v="4"/>
    <s v="pacote"/>
    <n v="54.9"/>
    <s v="OK"/>
    <n v="0"/>
    <x v="5"/>
    <x v="1"/>
    <x v="0"/>
    <x v="0"/>
    <n v="2024"/>
    <n v="29"/>
    <x v="13"/>
  </r>
  <r>
    <n v="238"/>
    <d v="2024-12-11T00:00:00"/>
    <s v="Não"/>
    <x v="10"/>
    <x v="6"/>
    <s v="500g"/>
    <n v="8.9"/>
    <s v="OK"/>
    <n v="24.92"/>
    <x v="2"/>
    <x v="0"/>
    <x v="0"/>
    <x v="0"/>
    <n v="2024"/>
    <n v="25"/>
    <x v="14"/>
  </r>
  <r>
    <n v="146"/>
    <d v="2024-12-08T00:00:00"/>
    <s v="Não"/>
    <x v="1"/>
    <x v="1"/>
    <s v="473ml"/>
    <n v="11.9"/>
    <s v="OK"/>
    <n v="0"/>
    <x v="1"/>
    <x v="2"/>
    <x v="0"/>
    <x v="0"/>
    <n v="2024"/>
    <n v="11"/>
    <x v="15"/>
  </r>
  <r>
    <n v="297"/>
    <d v="2024-12-08T00:00:00"/>
    <s v="Não"/>
    <x v="11"/>
    <x v="1"/>
    <s v="350ml"/>
    <n v="3.9"/>
    <s v="OK"/>
    <n v="0.57999999999999996"/>
    <x v="3"/>
    <x v="0"/>
    <x v="0"/>
    <x v="0"/>
    <n v="2024"/>
    <n v="2"/>
    <x v="16"/>
  </r>
  <r>
    <n v="96"/>
    <d v="2024-12-07T00:00:00"/>
    <s v="Não"/>
    <x v="12"/>
    <x v="6"/>
    <s v="un"/>
    <n v="0.75"/>
    <s v="OK"/>
    <n v="0.41"/>
    <x v="3"/>
    <x v="2"/>
    <x v="0"/>
    <x v="0"/>
    <n v="2024"/>
    <n v="10"/>
    <x v="17"/>
  </r>
  <r>
    <n v="276"/>
    <d v="2024-12-06T00:00:00"/>
    <s v="Não"/>
    <x v="13"/>
    <x v="4"/>
    <s v="pacote"/>
    <n v="19.899999999999999"/>
    <s v="OK"/>
    <n v="0"/>
    <x v="2"/>
    <x v="1"/>
    <x v="0"/>
    <x v="0"/>
    <n v="2024"/>
    <n v="14"/>
    <x v="18"/>
  </r>
  <r>
    <n v="95"/>
    <d v="2024-12-05T00:00:00"/>
    <s v="Não"/>
    <x v="14"/>
    <x v="2"/>
    <s v="1kg"/>
    <n v="2.9"/>
    <s v="OK"/>
    <n v="0"/>
    <x v="5"/>
    <x v="2"/>
    <x v="0"/>
    <x v="0"/>
    <n v="2024"/>
    <n v="24"/>
    <x v="19"/>
  </r>
  <r>
    <n v="231"/>
    <d v="2024-12-03T00:00:00"/>
    <s v="Não"/>
    <x v="15"/>
    <x v="4"/>
    <s v="325ml"/>
    <n v="14.9"/>
    <s v="OK"/>
    <n v="0"/>
    <x v="3"/>
    <x v="0"/>
    <x v="0"/>
    <x v="0"/>
    <n v="2024"/>
    <n v="27"/>
    <x v="20"/>
  </r>
  <r>
    <n v="284"/>
    <d v="2024-12-02T00:00:00"/>
    <s v="Não"/>
    <x v="10"/>
    <x v="6"/>
    <s v="500g"/>
    <n v="8.9"/>
    <s v="OK"/>
    <n v="0"/>
    <x v="3"/>
    <x v="1"/>
    <x v="0"/>
    <x v="0"/>
    <n v="2024"/>
    <n v="3"/>
    <x v="21"/>
  </r>
  <r>
    <n v="108"/>
    <d v="2024-12-01T00:00:00"/>
    <s v="Não"/>
    <x v="16"/>
    <x v="4"/>
    <s v="325ml"/>
    <n v="14.9"/>
    <s v="OK"/>
    <n v="0"/>
    <x v="1"/>
    <x v="0"/>
    <x v="0"/>
    <x v="0"/>
    <n v="2024"/>
    <n v="1"/>
    <x v="22"/>
  </r>
  <r>
    <n v="52"/>
    <d v="2024-11-29T00:00:00"/>
    <s v="Não"/>
    <x v="4"/>
    <x v="3"/>
    <s v="kg"/>
    <n v="7.9"/>
    <s v="OK"/>
    <n v="0"/>
    <x v="0"/>
    <x v="0"/>
    <x v="1"/>
    <x v="1"/>
    <n v="2024"/>
    <n v="27"/>
    <x v="23"/>
  </r>
  <r>
    <n v="5"/>
    <d v="2024-11-28T00:00:00"/>
    <s v="Não"/>
    <x v="16"/>
    <x v="4"/>
    <s v="325ml"/>
    <n v="14.9"/>
    <s v="OK"/>
    <n v="13.41"/>
    <x v="4"/>
    <x v="2"/>
    <x v="1"/>
    <x v="1"/>
    <n v="2024"/>
    <n v="17"/>
    <x v="24"/>
  </r>
  <r>
    <n v="244"/>
    <d v="2024-11-28T00:00:00"/>
    <s v="Não"/>
    <x v="12"/>
    <x v="6"/>
    <s v="un"/>
    <n v="0.75"/>
    <s v="OK"/>
    <n v="0"/>
    <x v="0"/>
    <x v="0"/>
    <x v="1"/>
    <x v="1"/>
    <n v="2024"/>
    <n v="4"/>
    <x v="25"/>
  </r>
  <r>
    <n v="197"/>
    <d v="2024-11-27T00:00:00"/>
    <s v="Não"/>
    <x v="17"/>
    <x v="2"/>
    <s v="400g"/>
    <n v="12.5"/>
    <s v="OK"/>
    <n v="0"/>
    <x v="5"/>
    <x v="1"/>
    <x v="1"/>
    <x v="1"/>
    <n v="2024"/>
    <n v="16"/>
    <x v="26"/>
  </r>
  <r>
    <n v="140"/>
    <d v="2024-11-27T00:00:00"/>
    <s v="Não"/>
    <x v="18"/>
    <x v="1"/>
    <s v="1l"/>
    <n v="5.9"/>
    <s v="OK"/>
    <n v="0.3"/>
    <x v="1"/>
    <x v="0"/>
    <x v="1"/>
    <x v="1"/>
    <n v="2024"/>
    <n v="0"/>
    <x v="27"/>
  </r>
  <r>
    <n v="151"/>
    <d v="2024-11-26T00:00:00"/>
    <s v="Não"/>
    <x v="19"/>
    <x v="4"/>
    <s v="90g"/>
    <n v="4.9000000000000004"/>
    <s v="OK"/>
    <n v="3.92"/>
    <x v="0"/>
    <x v="0"/>
    <x v="1"/>
    <x v="1"/>
    <n v="2024"/>
    <n v="15"/>
    <x v="28"/>
  </r>
  <r>
    <n v="48"/>
    <d v="2024-11-26T00:00:00"/>
    <s v="Não"/>
    <x v="3"/>
    <x v="2"/>
    <s v="1kg"/>
    <n v="4.5"/>
    <s v="OK"/>
    <n v="0.45"/>
    <x v="3"/>
    <x v="2"/>
    <x v="1"/>
    <x v="1"/>
    <n v="2024"/>
    <n v="1"/>
    <x v="29"/>
  </r>
  <r>
    <n v="281"/>
    <d v="2024-11-25T00:00:00"/>
    <s v="Não"/>
    <x v="20"/>
    <x v="3"/>
    <s v="kg"/>
    <n v="5.9"/>
    <s v="OK"/>
    <n v="0.59"/>
    <x v="3"/>
    <x v="1"/>
    <x v="1"/>
    <x v="1"/>
    <n v="2024"/>
    <n v="0"/>
    <x v="30"/>
  </r>
  <r>
    <n v="263"/>
    <d v="2024-11-25T00:00:00"/>
    <s v="Não"/>
    <x v="21"/>
    <x v="2"/>
    <s v="1kg"/>
    <n v="8.5"/>
    <s v="OK"/>
    <n v="0.85"/>
    <x v="1"/>
    <x v="2"/>
    <x v="1"/>
    <x v="1"/>
    <n v="2024"/>
    <n v="1"/>
    <x v="31"/>
  </r>
  <r>
    <n v="224"/>
    <d v="2024-11-23T00:00:00"/>
    <s v="Não"/>
    <x v="22"/>
    <x v="6"/>
    <s v="500g"/>
    <n v="24.9"/>
    <s v="OK"/>
    <n v="0"/>
    <x v="1"/>
    <x v="2"/>
    <x v="1"/>
    <x v="1"/>
    <n v="2024"/>
    <n v="23"/>
    <x v="32"/>
  </r>
  <r>
    <n v="1"/>
    <d v="2024-11-23T00:00:00"/>
    <s v="Não"/>
    <x v="14"/>
    <x v="2"/>
    <s v="1kg"/>
    <n v="2.9"/>
    <s v="OK"/>
    <n v="0"/>
    <x v="4"/>
    <x v="0"/>
    <x v="1"/>
    <x v="1"/>
    <n v="2024"/>
    <n v="1"/>
    <x v="33"/>
  </r>
  <r>
    <n v="241"/>
    <d v="2024-11-22T00:00:00"/>
    <s v="Não"/>
    <x v="23"/>
    <x v="1"/>
    <s v="330ml"/>
    <n v="7.9"/>
    <s v="OK"/>
    <n v="0"/>
    <x v="1"/>
    <x v="0"/>
    <x v="1"/>
    <x v="1"/>
    <n v="2024"/>
    <n v="4"/>
    <x v="34"/>
  </r>
  <r>
    <n v="73"/>
    <d v="2024-11-20T00:00:00"/>
    <s v="Não"/>
    <x v="24"/>
    <x v="5"/>
    <s v="200g"/>
    <n v="12.9"/>
    <s v="OK"/>
    <n v="10.96"/>
    <x v="2"/>
    <x v="0"/>
    <x v="1"/>
    <x v="1"/>
    <n v="2024"/>
    <n v="16"/>
    <x v="35"/>
  </r>
  <r>
    <n v="165"/>
    <d v="2024-11-18T00:00:00"/>
    <s v="Não"/>
    <x v="15"/>
    <x v="4"/>
    <s v="325ml"/>
    <n v="14.9"/>
    <s v="OK"/>
    <n v="0"/>
    <x v="4"/>
    <x v="1"/>
    <x v="1"/>
    <x v="1"/>
    <n v="2024"/>
    <n v="2"/>
    <x v="36"/>
  </r>
  <r>
    <n v="232"/>
    <d v="2024-11-17T00:00:00"/>
    <s v="Não"/>
    <x v="25"/>
    <x v="0"/>
    <s v="500ml"/>
    <n v="5.9"/>
    <s v="Erro pricing"/>
    <n v="0"/>
    <x v="1"/>
    <x v="0"/>
    <x v="1"/>
    <x v="1"/>
    <n v="2024"/>
    <n v="2"/>
    <x v="37"/>
  </r>
  <r>
    <n v="213"/>
    <d v="2024-11-16T00:00:00"/>
    <s v="Não"/>
    <x v="19"/>
    <x v="4"/>
    <s v="90g"/>
    <n v="4.9000000000000004"/>
    <s v="OK"/>
    <n v="7.11"/>
    <x v="5"/>
    <x v="0"/>
    <x v="1"/>
    <x v="1"/>
    <n v="2024"/>
    <n v="27"/>
    <x v="38"/>
  </r>
  <r>
    <n v="192"/>
    <d v="2024-11-16T00:00:00"/>
    <s v="Não"/>
    <x v="26"/>
    <x v="6"/>
    <s v="un"/>
    <n v="4.5"/>
    <s v="OK"/>
    <n v="0"/>
    <x v="4"/>
    <x v="2"/>
    <x v="1"/>
    <x v="1"/>
    <n v="2024"/>
    <n v="25"/>
    <x v="39"/>
  </r>
  <r>
    <n v="266"/>
    <d v="2024-11-15T00:00:00"/>
    <s v="Não"/>
    <x v="0"/>
    <x v="0"/>
    <s v="1l"/>
    <n v="12.9"/>
    <s v="OK"/>
    <n v="24.51"/>
    <x v="3"/>
    <x v="2"/>
    <x v="1"/>
    <x v="1"/>
    <n v="2024"/>
    <n v="17"/>
    <x v="40"/>
  </r>
  <r>
    <n v="242"/>
    <d v="2024-11-13T00:00:00"/>
    <s v="Não"/>
    <x v="20"/>
    <x v="3"/>
    <s v="kg"/>
    <n v="5.9"/>
    <s v="OK"/>
    <n v="6.49"/>
    <x v="4"/>
    <x v="1"/>
    <x v="1"/>
    <x v="1"/>
    <n v="2024"/>
    <n v="9"/>
    <x v="41"/>
  </r>
  <r>
    <n v="214"/>
    <d v="2024-11-12T00:00:00"/>
    <s v="Não"/>
    <x v="2"/>
    <x v="2"/>
    <s v="340g"/>
    <n v="4.9000000000000004"/>
    <s v="OK"/>
    <n v="0"/>
    <x v="4"/>
    <x v="1"/>
    <x v="1"/>
    <x v="1"/>
    <n v="2024"/>
    <n v="8"/>
    <x v="42"/>
  </r>
  <r>
    <n v="143"/>
    <d v="2024-11-11T00:00:00"/>
    <s v="Não"/>
    <x v="4"/>
    <x v="3"/>
    <s v="kg"/>
    <n v="7.9"/>
    <s v="OK"/>
    <n v="9.8800000000000008"/>
    <x v="1"/>
    <x v="2"/>
    <x v="1"/>
    <x v="1"/>
    <n v="2024"/>
    <n v="23"/>
    <x v="43"/>
  </r>
  <r>
    <n v="69"/>
    <d v="2024-11-09T00:00:00"/>
    <s v="Não"/>
    <x v="25"/>
    <x v="0"/>
    <s v="500ml"/>
    <n v="5.9"/>
    <s v="OK"/>
    <n v="0"/>
    <x v="3"/>
    <x v="1"/>
    <x v="1"/>
    <x v="1"/>
    <n v="2024"/>
    <n v="17"/>
    <x v="44"/>
  </r>
  <r>
    <n v="31"/>
    <d v="2024-11-07T00:00:00"/>
    <s v="Não"/>
    <x v="27"/>
    <x v="5"/>
    <s v="1l"/>
    <n v="4.2"/>
    <s v="OK"/>
    <n v="0"/>
    <x v="4"/>
    <x v="1"/>
    <x v="1"/>
    <x v="1"/>
    <n v="2024"/>
    <n v="5"/>
    <x v="45"/>
  </r>
  <r>
    <n v="167"/>
    <d v="2024-11-06T00:00:00"/>
    <s v="Não"/>
    <x v="7"/>
    <x v="0"/>
    <s v="500ml"/>
    <n v="2.5"/>
    <s v="OK"/>
    <n v="6.5"/>
    <x v="4"/>
    <x v="1"/>
    <x v="1"/>
    <x v="1"/>
    <n v="2024"/>
    <n v="23"/>
    <x v="3"/>
  </r>
  <r>
    <n v="134"/>
    <d v="2024-11-06T00:00:00"/>
    <s v="Não"/>
    <x v="9"/>
    <x v="4"/>
    <s v="pacote"/>
    <n v="54.9"/>
    <s v="OK"/>
    <n v="0"/>
    <x v="4"/>
    <x v="2"/>
    <x v="1"/>
    <x v="1"/>
    <n v="2024"/>
    <n v="23"/>
    <x v="46"/>
  </r>
  <r>
    <n v="182"/>
    <d v="2024-11-05T00:00:00"/>
    <s v="Não"/>
    <x v="24"/>
    <x v="5"/>
    <s v="200g"/>
    <n v="12.9"/>
    <s v="OK"/>
    <n v="0"/>
    <x v="4"/>
    <x v="1"/>
    <x v="1"/>
    <x v="1"/>
    <n v="2024"/>
    <n v="1"/>
    <x v="47"/>
  </r>
  <r>
    <n v="72"/>
    <d v="2024-11-05T00:00:00"/>
    <s v="Não"/>
    <x v="28"/>
    <x v="5"/>
    <s v="1l"/>
    <n v="4.5"/>
    <s v="OK"/>
    <n v="0"/>
    <x v="4"/>
    <x v="1"/>
    <x v="1"/>
    <x v="1"/>
    <n v="2024"/>
    <n v="23"/>
    <x v="48"/>
  </r>
  <r>
    <n v="268"/>
    <d v="2024-11-05T00:00:00"/>
    <s v="Não"/>
    <x v="22"/>
    <x v="6"/>
    <s v="500g"/>
    <n v="24.9"/>
    <s v="Erro pricing"/>
    <n v="0"/>
    <x v="3"/>
    <x v="1"/>
    <x v="1"/>
    <x v="1"/>
    <n v="2024"/>
    <n v="4"/>
    <x v="49"/>
  </r>
  <r>
    <n v="9"/>
    <d v="2024-11-05T00:00:00"/>
    <s v="Não"/>
    <x v="24"/>
    <x v="5"/>
    <s v="200g"/>
    <n v="12.9"/>
    <s v="OK"/>
    <n v="0"/>
    <x v="3"/>
    <x v="2"/>
    <x v="1"/>
    <x v="1"/>
    <n v="2024"/>
    <n v="26"/>
    <x v="50"/>
  </r>
  <r>
    <n v="181"/>
    <d v="2024-11-02T00:00:00"/>
    <s v="Não"/>
    <x v="29"/>
    <x v="2"/>
    <s v="1kg"/>
    <n v="9.1999999999999993"/>
    <s v="OK"/>
    <n v="13.34"/>
    <x v="3"/>
    <x v="2"/>
    <x v="1"/>
    <x v="1"/>
    <n v="2024"/>
    <n v="27"/>
    <x v="51"/>
  </r>
  <r>
    <n v="178"/>
    <d v="2024-10-31T00:00:00"/>
    <s v="Não"/>
    <x v="9"/>
    <x v="4"/>
    <s v="pacote"/>
    <n v="54.9"/>
    <s v="OK"/>
    <n v="148.22999999999999"/>
    <x v="2"/>
    <x v="2"/>
    <x v="2"/>
    <x v="2"/>
    <n v="2024"/>
    <n v="24"/>
    <x v="52"/>
  </r>
  <r>
    <n v="60"/>
    <d v="2024-10-31T00:00:00"/>
    <s v="Não"/>
    <x v="2"/>
    <x v="2"/>
    <s v="340g"/>
    <n v="4.9000000000000004"/>
    <s v="OK"/>
    <n v="0"/>
    <x v="1"/>
    <x v="0"/>
    <x v="2"/>
    <x v="2"/>
    <n v="2024"/>
    <n v="22"/>
    <x v="53"/>
  </r>
  <r>
    <n v="125"/>
    <d v="2024-10-30T00:00:00"/>
    <s v="Não"/>
    <x v="30"/>
    <x v="3"/>
    <s v="un"/>
    <n v="2.9"/>
    <s v="OK"/>
    <n v="0"/>
    <x v="0"/>
    <x v="1"/>
    <x v="2"/>
    <x v="2"/>
    <n v="2024"/>
    <n v="22"/>
    <x v="54"/>
  </r>
  <r>
    <n v="144"/>
    <d v="2024-10-30T00:00:00"/>
    <s v="Não"/>
    <x v="31"/>
    <x v="5"/>
    <s v="200g"/>
    <n v="9.9"/>
    <s v="OK"/>
    <n v="0"/>
    <x v="0"/>
    <x v="2"/>
    <x v="2"/>
    <x v="2"/>
    <n v="2024"/>
    <n v="11"/>
    <x v="55"/>
  </r>
  <r>
    <n v="292"/>
    <d v="2024-10-30T00:00:00"/>
    <s v="Não"/>
    <x v="32"/>
    <x v="7"/>
    <s v="kg"/>
    <n v="32.9"/>
    <s v="OK"/>
    <n v="0"/>
    <x v="0"/>
    <x v="0"/>
    <x v="2"/>
    <x v="2"/>
    <n v="2024"/>
    <n v="17"/>
    <x v="56"/>
  </r>
  <r>
    <n v="6"/>
    <d v="2024-10-28T00:00:00"/>
    <s v="Não"/>
    <x v="31"/>
    <x v="5"/>
    <s v="200g"/>
    <n v="9.9"/>
    <s v="OK"/>
    <n v="0"/>
    <x v="4"/>
    <x v="1"/>
    <x v="2"/>
    <x v="2"/>
    <n v="2024"/>
    <n v="26"/>
    <x v="57"/>
  </r>
  <r>
    <n v="158"/>
    <d v="2024-10-28T00:00:00"/>
    <s v="Não"/>
    <x v="13"/>
    <x v="4"/>
    <s v="pacote"/>
    <n v="19.899999999999999"/>
    <s v="OK"/>
    <n v="33.83"/>
    <x v="2"/>
    <x v="0"/>
    <x v="2"/>
    <x v="2"/>
    <n v="2024"/>
    <n v="15"/>
    <x v="58"/>
  </r>
  <r>
    <n v="185"/>
    <d v="2024-10-26T00:00:00"/>
    <s v="Não"/>
    <x v="22"/>
    <x v="6"/>
    <s v="500g"/>
    <n v="24.9"/>
    <s v="OK"/>
    <n v="26.15"/>
    <x v="0"/>
    <x v="2"/>
    <x v="2"/>
    <x v="2"/>
    <n v="2024"/>
    <n v="19"/>
    <x v="59"/>
  </r>
  <r>
    <n v="153"/>
    <d v="2024-10-24T00:00:00"/>
    <s v="Não"/>
    <x v="23"/>
    <x v="1"/>
    <s v="330ml"/>
    <n v="7.9"/>
    <s v="OK"/>
    <n v="12.64"/>
    <x v="5"/>
    <x v="2"/>
    <x v="2"/>
    <x v="2"/>
    <n v="2024"/>
    <n v="14"/>
    <x v="60"/>
  </r>
  <r>
    <n v="89"/>
    <d v="2024-10-24T00:00:00"/>
    <s v="Não"/>
    <x v="24"/>
    <x v="5"/>
    <s v="200g"/>
    <n v="12.9"/>
    <s v="OK"/>
    <n v="0"/>
    <x v="5"/>
    <x v="2"/>
    <x v="2"/>
    <x v="2"/>
    <n v="2024"/>
    <n v="2"/>
    <x v="0"/>
  </r>
  <r>
    <n v="233"/>
    <d v="2024-10-23T00:00:00"/>
    <s v="Não"/>
    <x v="23"/>
    <x v="1"/>
    <s v="330ml"/>
    <n v="7.9"/>
    <s v="OK"/>
    <n v="0"/>
    <x v="0"/>
    <x v="2"/>
    <x v="2"/>
    <x v="2"/>
    <n v="2024"/>
    <n v="24"/>
    <x v="61"/>
  </r>
  <r>
    <n v="57"/>
    <d v="2024-10-23T00:00:00"/>
    <s v="Não"/>
    <x v="9"/>
    <x v="4"/>
    <s v="pacote"/>
    <n v="54.9"/>
    <s v="OK"/>
    <n v="0"/>
    <x v="3"/>
    <x v="2"/>
    <x v="2"/>
    <x v="2"/>
    <n v="2024"/>
    <n v="18"/>
    <x v="62"/>
  </r>
  <r>
    <n v="45"/>
    <d v="2024-10-22T00:00:00"/>
    <s v="Não"/>
    <x v="33"/>
    <x v="7"/>
    <s v="kg"/>
    <n v="89.9"/>
    <s v="OK"/>
    <n v="35.96"/>
    <x v="1"/>
    <x v="0"/>
    <x v="2"/>
    <x v="2"/>
    <n v="2024"/>
    <n v="7"/>
    <x v="63"/>
  </r>
  <r>
    <n v="183"/>
    <d v="2024-10-21T00:00:00"/>
    <s v="Não"/>
    <x v="34"/>
    <x v="3"/>
    <s v="kg"/>
    <n v="4.5"/>
    <s v="OK"/>
    <n v="0"/>
    <x v="5"/>
    <x v="0"/>
    <x v="2"/>
    <x v="2"/>
    <n v="2024"/>
    <n v="1"/>
    <x v="64"/>
  </r>
  <r>
    <n v="120"/>
    <d v="2024-10-21T00:00:00"/>
    <s v="Não"/>
    <x v="1"/>
    <x v="1"/>
    <s v="473ml"/>
    <n v="11.9"/>
    <s v="Erro pricing"/>
    <n v="0"/>
    <x v="2"/>
    <x v="2"/>
    <x v="2"/>
    <x v="2"/>
    <n v="2024"/>
    <n v="16"/>
    <x v="65"/>
  </r>
  <r>
    <n v="61"/>
    <d v="2024-10-18T00:00:00"/>
    <s v="Não"/>
    <x v="8"/>
    <x v="5"/>
    <s v="kg"/>
    <n v="32.9"/>
    <s v="OK"/>
    <n v="62.51"/>
    <x v="0"/>
    <x v="1"/>
    <x v="2"/>
    <x v="2"/>
    <n v="2024"/>
    <n v="17"/>
    <x v="66"/>
  </r>
  <r>
    <n v="228"/>
    <d v="2024-10-16T00:00:00"/>
    <s v="Não"/>
    <x v="15"/>
    <x v="4"/>
    <s v="325ml"/>
    <n v="14.9"/>
    <s v="OK"/>
    <n v="0"/>
    <x v="5"/>
    <x v="1"/>
    <x v="2"/>
    <x v="2"/>
    <n v="2024"/>
    <n v="25"/>
    <x v="67"/>
  </r>
  <r>
    <n v="275"/>
    <d v="2024-10-14T00:00:00"/>
    <s v="Não"/>
    <x v="18"/>
    <x v="1"/>
    <s v="1l"/>
    <n v="5.9"/>
    <s v="OK"/>
    <n v="0"/>
    <x v="1"/>
    <x v="2"/>
    <x v="2"/>
    <x v="2"/>
    <n v="2024"/>
    <n v="22"/>
    <x v="68"/>
  </r>
  <r>
    <n v="279"/>
    <d v="2024-10-11T00:00:00"/>
    <s v="Não"/>
    <x v="23"/>
    <x v="1"/>
    <s v="330ml"/>
    <n v="7.9"/>
    <s v="OK"/>
    <n v="0"/>
    <x v="5"/>
    <x v="0"/>
    <x v="2"/>
    <x v="2"/>
    <n v="2024"/>
    <n v="4"/>
    <x v="34"/>
  </r>
  <r>
    <n v="97"/>
    <d v="2024-10-10T00:00:00"/>
    <s v="Não"/>
    <x v="35"/>
    <x v="2"/>
    <s v="500g"/>
    <n v="18.899999999999999"/>
    <s v="OK"/>
    <n v="6.61"/>
    <x v="3"/>
    <x v="2"/>
    <x v="2"/>
    <x v="2"/>
    <n v="2024"/>
    <n v="6"/>
    <x v="69"/>
  </r>
  <r>
    <n v="41"/>
    <d v="2024-10-10T00:00:00"/>
    <s v="Não"/>
    <x v="36"/>
    <x v="5"/>
    <s v="170g"/>
    <n v="4.9000000000000004"/>
    <s v="OK"/>
    <n v="0"/>
    <x v="0"/>
    <x v="0"/>
    <x v="2"/>
    <x v="2"/>
    <n v="2024"/>
    <n v="19"/>
    <x v="70"/>
  </r>
  <r>
    <n v="255"/>
    <d v="2024-10-10T00:00:00"/>
    <s v="Não"/>
    <x v="28"/>
    <x v="5"/>
    <s v="1l"/>
    <n v="4.5"/>
    <s v="OK"/>
    <n v="0"/>
    <x v="4"/>
    <x v="2"/>
    <x v="2"/>
    <x v="2"/>
    <n v="2024"/>
    <n v="19"/>
    <x v="71"/>
  </r>
  <r>
    <n v="269"/>
    <d v="2024-10-09T00:00:00"/>
    <s v="Não"/>
    <x v="6"/>
    <x v="4"/>
    <s v="90g"/>
    <n v="5.9"/>
    <s v="OK"/>
    <n v="0"/>
    <x v="1"/>
    <x v="2"/>
    <x v="2"/>
    <x v="2"/>
    <n v="2024"/>
    <n v="28"/>
    <x v="72"/>
  </r>
  <r>
    <n v="193"/>
    <d v="2024-10-08T00:00:00"/>
    <s v="Não"/>
    <x v="35"/>
    <x v="2"/>
    <s v="500g"/>
    <n v="18.899999999999999"/>
    <s v="OK"/>
    <n v="0"/>
    <x v="1"/>
    <x v="1"/>
    <x v="2"/>
    <x v="2"/>
    <n v="2024"/>
    <n v="30"/>
    <x v="73"/>
  </r>
  <r>
    <n v="257"/>
    <d v="2024-10-03T00:00:00"/>
    <s v="Não"/>
    <x v="24"/>
    <x v="5"/>
    <s v="200g"/>
    <n v="12.9"/>
    <s v="OK"/>
    <n v="0"/>
    <x v="0"/>
    <x v="1"/>
    <x v="2"/>
    <x v="2"/>
    <n v="2024"/>
    <n v="26"/>
    <x v="50"/>
  </r>
  <r>
    <n v="235"/>
    <d v="2024-10-03T00:00:00"/>
    <s v="Não"/>
    <x v="23"/>
    <x v="1"/>
    <s v="330ml"/>
    <n v="7.9"/>
    <s v="OK"/>
    <n v="13.43"/>
    <x v="2"/>
    <x v="0"/>
    <x v="2"/>
    <x v="2"/>
    <n v="2024"/>
    <n v="15"/>
    <x v="74"/>
  </r>
  <r>
    <n v="22"/>
    <d v="2024-10-02T00:00:00"/>
    <s v="Não"/>
    <x v="24"/>
    <x v="5"/>
    <s v="200g"/>
    <n v="12.9"/>
    <s v="OK"/>
    <n v="30.96"/>
    <x v="1"/>
    <x v="1"/>
    <x v="2"/>
    <x v="2"/>
    <n v="2024"/>
    <n v="21"/>
    <x v="75"/>
  </r>
  <r>
    <n v="88"/>
    <d v="2024-10-01T00:00:00"/>
    <s v="Não"/>
    <x v="18"/>
    <x v="1"/>
    <s v="1l"/>
    <n v="5.9"/>
    <s v="OK"/>
    <n v="0"/>
    <x v="2"/>
    <x v="0"/>
    <x v="2"/>
    <x v="2"/>
    <n v="2024"/>
    <n v="1"/>
    <x v="76"/>
  </r>
  <r>
    <n v="10"/>
    <d v="2024-10-01T00:00:00"/>
    <s v="Não"/>
    <x v="14"/>
    <x v="2"/>
    <s v="1kg"/>
    <n v="2.9"/>
    <s v="OK"/>
    <n v="4.3499999999999996"/>
    <x v="0"/>
    <x v="1"/>
    <x v="2"/>
    <x v="2"/>
    <n v="2024"/>
    <n v="28"/>
    <x v="77"/>
  </r>
  <r>
    <n v="111"/>
    <d v="2024-09-28T00:00:00"/>
    <s v="Não"/>
    <x v="20"/>
    <x v="3"/>
    <s v="kg"/>
    <n v="5.9"/>
    <s v="OK"/>
    <n v="0"/>
    <x v="1"/>
    <x v="1"/>
    <x v="3"/>
    <x v="3"/>
    <n v="2024"/>
    <n v="20"/>
    <x v="78"/>
  </r>
  <r>
    <n v="32"/>
    <d v="2024-09-28T00:00:00"/>
    <s v="Não"/>
    <x v="37"/>
    <x v="2"/>
    <s v="5kg"/>
    <n v="12.9"/>
    <s v="OK"/>
    <n v="0"/>
    <x v="1"/>
    <x v="0"/>
    <x v="3"/>
    <x v="3"/>
    <n v="2024"/>
    <n v="20"/>
    <x v="79"/>
  </r>
  <r>
    <n v="114"/>
    <d v="2024-09-23T00:00:00"/>
    <s v="Não"/>
    <x v="32"/>
    <x v="7"/>
    <s v="kg"/>
    <n v="32.9"/>
    <s v="OK"/>
    <n v="0"/>
    <x v="2"/>
    <x v="2"/>
    <x v="3"/>
    <x v="3"/>
    <n v="2024"/>
    <n v="21"/>
    <x v="80"/>
  </r>
  <r>
    <n v="149"/>
    <d v="2024-09-21T00:00:00"/>
    <s v="Não"/>
    <x v="27"/>
    <x v="5"/>
    <s v="1l"/>
    <n v="4.2"/>
    <s v="OK"/>
    <n v="0"/>
    <x v="3"/>
    <x v="2"/>
    <x v="3"/>
    <x v="3"/>
    <n v="2024"/>
    <n v="3"/>
    <x v="81"/>
  </r>
  <r>
    <n v="102"/>
    <d v="2024-09-18T00:00:00"/>
    <s v="Não"/>
    <x v="33"/>
    <x v="7"/>
    <s v="kg"/>
    <n v="89.9"/>
    <s v="OK"/>
    <n v="0"/>
    <x v="3"/>
    <x v="0"/>
    <x v="3"/>
    <x v="3"/>
    <n v="2024"/>
    <n v="26"/>
    <x v="82"/>
  </r>
  <r>
    <n v="91"/>
    <d v="2024-09-18T00:00:00"/>
    <s v="Não"/>
    <x v="14"/>
    <x v="2"/>
    <s v="1kg"/>
    <n v="2.9"/>
    <s v="OK"/>
    <n v="3.77"/>
    <x v="4"/>
    <x v="2"/>
    <x v="3"/>
    <x v="3"/>
    <n v="2024"/>
    <n v="11"/>
    <x v="83"/>
  </r>
  <r>
    <n v="200"/>
    <d v="2024-09-17T00:00:00"/>
    <s v="Não"/>
    <x v="9"/>
    <x v="4"/>
    <s v="pacote"/>
    <n v="54.9"/>
    <s v="OK"/>
    <n v="0"/>
    <x v="0"/>
    <x v="2"/>
    <x v="3"/>
    <x v="3"/>
    <n v="2024"/>
    <n v="29"/>
    <x v="13"/>
  </r>
  <r>
    <n v="30"/>
    <d v="2024-09-16T00:00:00"/>
    <s v="Não"/>
    <x v="3"/>
    <x v="2"/>
    <s v="1kg"/>
    <n v="4.5"/>
    <s v="OK"/>
    <n v="0"/>
    <x v="3"/>
    <x v="1"/>
    <x v="3"/>
    <x v="3"/>
    <n v="2024"/>
    <n v="28"/>
    <x v="84"/>
  </r>
  <r>
    <n v="4"/>
    <d v="2024-09-15T00:00:00"/>
    <s v="Não"/>
    <x v="7"/>
    <x v="0"/>
    <s v="500ml"/>
    <n v="2.5"/>
    <s v="OK"/>
    <n v="0.25"/>
    <x v="4"/>
    <x v="1"/>
    <x v="3"/>
    <x v="3"/>
    <n v="2024"/>
    <n v="0"/>
    <x v="85"/>
  </r>
  <r>
    <n v="112"/>
    <d v="2024-09-15T00:00:00"/>
    <s v="Não"/>
    <x v="22"/>
    <x v="6"/>
    <s v="500g"/>
    <n v="24.9"/>
    <s v="OK"/>
    <n v="67.23"/>
    <x v="1"/>
    <x v="0"/>
    <x v="3"/>
    <x v="3"/>
    <n v="2024"/>
    <n v="24"/>
    <x v="86"/>
  </r>
  <r>
    <n v="229"/>
    <d v="2024-09-11T00:00:00"/>
    <s v="Não"/>
    <x v="38"/>
    <x v="1"/>
    <s v="2l"/>
    <n v="8.5"/>
    <s v="OK"/>
    <n v="0"/>
    <x v="5"/>
    <x v="2"/>
    <x v="3"/>
    <x v="3"/>
    <n v="2024"/>
    <n v="25"/>
    <x v="87"/>
  </r>
  <r>
    <n v="203"/>
    <d v="2024-09-07T00:00:00"/>
    <s v="Não"/>
    <x v="17"/>
    <x v="2"/>
    <s v="400g"/>
    <n v="12.5"/>
    <s v="OK"/>
    <n v="18.75"/>
    <x v="1"/>
    <x v="2"/>
    <x v="3"/>
    <x v="3"/>
    <n v="2024"/>
    <n v="13"/>
    <x v="88"/>
  </r>
  <r>
    <n v="150"/>
    <d v="2024-09-07T00:00:00"/>
    <s v="Não"/>
    <x v="20"/>
    <x v="3"/>
    <s v="kg"/>
    <n v="5.9"/>
    <s v="OK"/>
    <n v="0"/>
    <x v="3"/>
    <x v="2"/>
    <x v="3"/>
    <x v="3"/>
    <n v="2024"/>
    <n v="25"/>
    <x v="89"/>
  </r>
  <r>
    <n v="122"/>
    <d v="2024-09-06T00:00:00"/>
    <s v="Não"/>
    <x v="36"/>
    <x v="5"/>
    <s v="170g"/>
    <n v="4.9000000000000004"/>
    <s v="OK"/>
    <n v="2.21"/>
    <x v="1"/>
    <x v="0"/>
    <x v="3"/>
    <x v="3"/>
    <n v="2024"/>
    <n v="8"/>
    <x v="90"/>
  </r>
  <r>
    <n v="56"/>
    <d v="2024-09-06T00:00:00"/>
    <s v="Não"/>
    <x v="17"/>
    <x v="2"/>
    <s v="400g"/>
    <n v="12.5"/>
    <s v="OK"/>
    <n v="0"/>
    <x v="4"/>
    <x v="0"/>
    <x v="3"/>
    <x v="3"/>
    <n v="2024"/>
    <n v="7"/>
    <x v="91"/>
  </r>
  <r>
    <n v="194"/>
    <d v="2024-09-05T00:00:00"/>
    <s v="Não"/>
    <x v="14"/>
    <x v="2"/>
    <s v="1kg"/>
    <n v="2.9"/>
    <s v="OK"/>
    <n v="0.28999999999999998"/>
    <x v="4"/>
    <x v="1"/>
    <x v="3"/>
    <x v="3"/>
    <n v="2024"/>
    <n v="0"/>
    <x v="92"/>
  </r>
  <r>
    <n v="44"/>
    <d v="2024-09-05T00:00:00"/>
    <s v="Não"/>
    <x v="28"/>
    <x v="5"/>
    <s v="1l"/>
    <n v="4.5"/>
    <s v="OK"/>
    <n v="0"/>
    <x v="3"/>
    <x v="1"/>
    <x v="3"/>
    <x v="3"/>
    <n v="2024"/>
    <n v="18"/>
    <x v="93"/>
  </r>
  <r>
    <n v="36"/>
    <d v="2024-08-31T00:00:00"/>
    <s v="Não"/>
    <x v="20"/>
    <x v="3"/>
    <s v="kg"/>
    <n v="5.9"/>
    <s v="OK"/>
    <n v="0"/>
    <x v="5"/>
    <x v="1"/>
    <x v="4"/>
    <x v="4"/>
    <n v="2024"/>
    <n v="6"/>
    <x v="94"/>
  </r>
  <r>
    <n v="113"/>
    <d v="2024-08-31T00:00:00"/>
    <s v="Não"/>
    <x v="26"/>
    <x v="6"/>
    <s v="un"/>
    <n v="4.5"/>
    <s v="OK"/>
    <n v="0"/>
    <x v="3"/>
    <x v="2"/>
    <x v="4"/>
    <x v="4"/>
    <n v="2024"/>
    <n v="9"/>
    <x v="95"/>
  </r>
  <r>
    <n v="173"/>
    <d v="2024-08-28T00:00:00"/>
    <s v="Não"/>
    <x v="38"/>
    <x v="1"/>
    <s v="2l"/>
    <n v="8.5"/>
    <s v="Erro pricing"/>
    <n v="0"/>
    <x v="2"/>
    <x v="1"/>
    <x v="4"/>
    <x v="4"/>
    <n v="2024"/>
    <n v="2"/>
    <x v="96"/>
  </r>
  <r>
    <n v="124"/>
    <d v="2024-08-27T00:00:00"/>
    <s v="Não"/>
    <x v="35"/>
    <x v="2"/>
    <s v="500g"/>
    <n v="18.899999999999999"/>
    <s v="OK"/>
    <n v="37.799999999999997"/>
    <x v="0"/>
    <x v="2"/>
    <x v="4"/>
    <x v="4"/>
    <n v="2024"/>
    <n v="18"/>
    <x v="97"/>
  </r>
  <r>
    <n v="133"/>
    <d v="2024-08-26T00:00:00"/>
    <s v="Não"/>
    <x v="16"/>
    <x v="4"/>
    <s v="325ml"/>
    <n v="14.9"/>
    <s v="OK"/>
    <n v="0"/>
    <x v="4"/>
    <x v="1"/>
    <x v="4"/>
    <x v="4"/>
    <n v="2024"/>
    <n v="9"/>
    <x v="98"/>
  </r>
  <r>
    <n v="221"/>
    <d v="2024-08-24T00:00:00"/>
    <s v="Não"/>
    <x v="0"/>
    <x v="0"/>
    <s v="1l"/>
    <n v="12.9"/>
    <s v="OK"/>
    <n v="5.8"/>
    <x v="2"/>
    <x v="1"/>
    <x v="4"/>
    <x v="4"/>
    <n v="2024"/>
    <n v="8"/>
    <x v="99"/>
  </r>
  <r>
    <n v="199"/>
    <d v="2024-08-21T00:00:00"/>
    <s v="Não"/>
    <x v="20"/>
    <x v="3"/>
    <s v="kg"/>
    <n v="5.9"/>
    <s v="OK"/>
    <n v="1.48"/>
    <x v="4"/>
    <x v="1"/>
    <x v="4"/>
    <x v="4"/>
    <n v="2024"/>
    <n v="4"/>
    <x v="100"/>
  </r>
  <r>
    <n v="106"/>
    <d v="2024-08-21T00:00:00"/>
    <s v="Não"/>
    <x v="12"/>
    <x v="6"/>
    <s v="un"/>
    <n v="0.75"/>
    <s v="OK"/>
    <n v="2.1800000000000002"/>
    <x v="4"/>
    <x v="1"/>
    <x v="4"/>
    <x v="4"/>
    <n v="2024"/>
    <n v="26"/>
    <x v="101"/>
  </r>
  <r>
    <n v="55"/>
    <d v="2024-08-20T00:00:00"/>
    <s v="Não"/>
    <x v="38"/>
    <x v="1"/>
    <s v="2l"/>
    <n v="8.5"/>
    <s v="OK"/>
    <n v="11.9"/>
    <x v="3"/>
    <x v="1"/>
    <x v="4"/>
    <x v="4"/>
    <n v="2024"/>
    <n v="12"/>
    <x v="102"/>
  </r>
  <r>
    <n v="155"/>
    <d v="2024-08-20T00:00:00"/>
    <s v="Não"/>
    <x v="31"/>
    <x v="5"/>
    <s v="200g"/>
    <n v="9.9"/>
    <s v="OK"/>
    <n v="0"/>
    <x v="4"/>
    <x v="0"/>
    <x v="4"/>
    <x v="4"/>
    <n v="2024"/>
    <n v="10"/>
    <x v="103"/>
  </r>
  <r>
    <n v="145"/>
    <d v="2024-08-18T00:00:00"/>
    <s v="Não"/>
    <x v="8"/>
    <x v="5"/>
    <s v="kg"/>
    <n v="32.9"/>
    <s v="OK"/>
    <n v="41.12"/>
    <x v="5"/>
    <x v="1"/>
    <x v="4"/>
    <x v="4"/>
    <n v="2024"/>
    <n v="23"/>
    <x v="104"/>
  </r>
  <r>
    <n v="250"/>
    <d v="2024-08-15T00:00:00"/>
    <s v="Não"/>
    <x v="8"/>
    <x v="5"/>
    <s v="kg"/>
    <n v="32.9"/>
    <s v="OK"/>
    <n v="0"/>
    <x v="0"/>
    <x v="1"/>
    <x v="4"/>
    <x v="4"/>
    <n v="2024"/>
    <n v="28"/>
    <x v="105"/>
  </r>
  <r>
    <n v="76"/>
    <d v="2024-08-14T00:00:00"/>
    <s v="Não"/>
    <x v="20"/>
    <x v="3"/>
    <s v="kg"/>
    <n v="5.9"/>
    <s v="OK"/>
    <n v="6.79"/>
    <x v="5"/>
    <x v="0"/>
    <x v="4"/>
    <x v="4"/>
    <n v="2024"/>
    <n v="21"/>
    <x v="106"/>
  </r>
  <r>
    <n v="290"/>
    <d v="2024-08-14T00:00:00"/>
    <s v="Não"/>
    <x v="12"/>
    <x v="6"/>
    <s v="un"/>
    <n v="0.75"/>
    <s v="OK"/>
    <n v="0"/>
    <x v="5"/>
    <x v="0"/>
    <x v="4"/>
    <x v="4"/>
    <n v="2024"/>
    <n v="9"/>
    <x v="107"/>
  </r>
  <r>
    <n v="163"/>
    <d v="2024-08-13T00:00:00"/>
    <s v="Não"/>
    <x v="18"/>
    <x v="1"/>
    <s v="1l"/>
    <n v="5.9"/>
    <s v="OK"/>
    <n v="0"/>
    <x v="2"/>
    <x v="2"/>
    <x v="4"/>
    <x v="4"/>
    <n v="2024"/>
    <n v="6"/>
    <x v="94"/>
  </r>
  <r>
    <n v="298"/>
    <d v="2024-08-11T00:00:00"/>
    <s v="Não"/>
    <x v="21"/>
    <x v="2"/>
    <s v="1kg"/>
    <n v="8.5"/>
    <s v="OK"/>
    <n v="0"/>
    <x v="2"/>
    <x v="1"/>
    <x v="4"/>
    <x v="4"/>
    <n v="2024"/>
    <n v="15"/>
    <x v="108"/>
  </r>
  <r>
    <n v="142"/>
    <d v="2024-08-10T00:00:00"/>
    <s v="Não"/>
    <x v="39"/>
    <x v="2"/>
    <s v="144g"/>
    <n v="4.2"/>
    <s v="OK"/>
    <n v="10.08"/>
    <x v="3"/>
    <x v="2"/>
    <x v="4"/>
    <x v="4"/>
    <n v="2024"/>
    <n v="21"/>
    <x v="109"/>
  </r>
  <r>
    <n v="141"/>
    <d v="2024-08-09T00:00:00"/>
    <s v="Não"/>
    <x v="23"/>
    <x v="1"/>
    <s v="330ml"/>
    <n v="7.9"/>
    <s v="OK"/>
    <n v="8.2899999999999991"/>
    <x v="3"/>
    <x v="0"/>
    <x v="4"/>
    <x v="4"/>
    <n v="2024"/>
    <n v="22"/>
    <x v="110"/>
  </r>
  <r>
    <n v="126"/>
    <d v="2024-08-07T00:00:00"/>
    <s v="Não"/>
    <x v="35"/>
    <x v="2"/>
    <s v="500g"/>
    <n v="18.899999999999999"/>
    <s v="OK"/>
    <n v="26.46"/>
    <x v="4"/>
    <x v="0"/>
    <x v="4"/>
    <x v="4"/>
    <n v="2024"/>
    <n v="26"/>
    <x v="111"/>
  </r>
  <r>
    <n v="169"/>
    <d v="2024-08-07T00:00:00"/>
    <s v="Não"/>
    <x v="5"/>
    <x v="1"/>
    <s v="2l"/>
    <n v="6.9"/>
    <s v="OK"/>
    <n v="13.11"/>
    <x v="0"/>
    <x v="1"/>
    <x v="4"/>
    <x v="4"/>
    <n v="2024"/>
    <n v="17"/>
    <x v="112"/>
  </r>
  <r>
    <n v="280"/>
    <d v="2024-08-07T00:00:00"/>
    <s v="Não"/>
    <x v="20"/>
    <x v="3"/>
    <s v="kg"/>
    <n v="5.9"/>
    <s v="OK"/>
    <n v="14.75"/>
    <x v="5"/>
    <x v="1"/>
    <x v="4"/>
    <x v="4"/>
    <n v="2024"/>
    <n v="22"/>
    <x v="113"/>
  </r>
  <r>
    <n v="299"/>
    <d v="2024-08-07T00:00:00"/>
    <s v="Não"/>
    <x v="30"/>
    <x v="3"/>
    <s v="un"/>
    <n v="2.9"/>
    <s v="OK"/>
    <n v="1.88"/>
    <x v="2"/>
    <x v="0"/>
    <x v="4"/>
    <x v="4"/>
    <n v="2024"/>
    <n v="12"/>
    <x v="114"/>
  </r>
  <r>
    <n v="176"/>
    <d v="2024-08-05T00:00:00"/>
    <s v="Não"/>
    <x v="14"/>
    <x v="2"/>
    <s v="1kg"/>
    <n v="2.9"/>
    <s v="OK"/>
    <n v="0"/>
    <x v="3"/>
    <x v="0"/>
    <x v="4"/>
    <x v="4"/>
    <n v="2024"/>
    <n v="18"/>
    <x v="115"/>
  </r>
  <r>
    <n v="154"/>
    <d v="2024-08-05T00:00:00"/>
    <s v="Não"/>
    <x v="9"/>
    <x v="4"/>
    <s v="pacote"/>
    <n v="54.9"/>
    <s v="OK"/>
    <n v="0"/>
    <x v="2"/>
    <x v="1"/>
    <x v="4"/>
    <x v="4"/>
    <n v="2024"/>
    <n v="18"/>
    <x v="62"/>
  </r>
  <r>
    <n v="3"/>
    <d v="2024-08-04T00:00:00"/>
    <s v="Não"/>
    <x v="29"/>
    <x v="2"/>
    <s v="1kg"/>
    <n v="9.1999999999999993"/>
    <s v="OK"/>
    <n v="0"/>
    <x v="4"/>
    <x v="0"/>
    <x v="4"/>
    <x v="4"/>
    <n v="2024"/>
    <n v="1"/>
    <x v="116"/>
  </r>
  <r>
    <n v="7"/>
    <d v="2024-08-04T00:00:00"/>
    <s v="Não"/>
    <x v="18"/>
    <x v="1"/>
    <s v="1l"/>
    <n v="5.9"/>
    <s v="OK"/>
    <n v="0"/>
    <x v="4"/>
    <x v="2"/>
    <x v="4"/>
    <x v="4"/>
    <n v="2024"/>
    <n v="9"/>
    <x v="117"/>
  </r>
  <r>
    <n v="37"/>
    <d v="2024-08-04T00:00:00"/>
    <s v="Não"/>
    <x v="28"/>
    <x v="5"/>
    <s v="1l"/>
    <n v="4.5"/>
    <s v="OK"/>
    <n v="13.5"/>
    <x v="3"/>
    <x v="1"/>
    <x v="4"/>
    <x v="4"/>
    <n v="2024"/>
    <n v="27"/>
    <x v="118"/>
  </r>
  <r>
    <n v="260"/>
    <d v="2024-08-03T00:00:00"/>
    <s v="Não"/>
    <x v="40"/>
    <x v="3"/>
    <s v="kg"/>
    <n v="3.9"/>
    <s v="OK"/>
    <n v="0"/>
    <x v="1"/>
    <x v="2"/>
    <x v="4"/>
    <x v="4"/>
    <n v="2024"/>
    <n v="4"/>
    <x v="119"/>
  </r>
  <r>
    <n v="286"/>
    <d v="2024-08-02T00:00:00"/>
    <s v="Não"/>
    <x v="41"/>
    <x v="7"/>
    <s v="kg"/>
    <n v="22.9"/>
    <s v="OK"/>
    <n v="0"/>
    <x v="2"/>
    <x v="2"/>
    <x v="4"/>
    <x v="4"/>
    <n v="2024"/>
    <n v="11"/>
    <x v="120"/>
  </r>
  <r>
    <n v="201"/>
    <d v="2024-07-31T00:00:00"/>
    <s v="Não"/>
    <x v="18"/>
    <x v="1"/>
    <s v="1l"/>
    <n v="5.9"/>
    <s v="OK"/>
    <n v="17.7"/>
    <x v="2"/>
    <x v="0"/>
    <x v="5"/>
    <x v="5"/>
    <n v="2024"/>
    <n v="27"/>
    <x v="121"/>
  </r>
  <r>
    <n v="83"/>
    <d v="2024-07-29T00:00:00"/>
    <s v="Não"/>
    <x v="42"/>
    <x v="0"/>
    <s v="un"/>
    <n v="3.9"/>
    <s v="OK"/>
    <n v="0"/>
    <x v="2"/>
    <x v="0"/>
    <x v="5"/>
    <x v="5"/>
    <n v="2024"/>
    <n v="28"/>
    <x v="122"/>
  </r>
  <r>
    <n v="47"/>
    <d v="2024-07-29T00:00:00"/>
    <s v="Não"/>
    <x v="41"/>
    <x v="7"/>
    <s v="kg"/>
    <n v="22.9"/>
    <s v="OK"/>
    <n v="0"/>
    <x v="3"/>
    <x v="1"/>
    <x v="5"/>
    <x v="5"/>
    <n v="2024"/>
    <n v="28"/>
    <x v="123"/>
  </r>
  <r>
    <n v="81"/>
    <d v="2024-07-27T00:00:00"/>
    <s v="Não"/>
    <x v="43"/>
    <x v="0"/>
    <s v="1kg"/>
    <n v="18.899999999999999"/>
    <s v="OK"/>
    <n v="0"/>
    <x v="4"/>
    <x v="0"/>
    <x v="5"/>
    <x v="5"/>
    <n v="2024"/>
    <n v="24"/>
    <x v="124"/>
  </r>
  <r>
    <n v="249"/>
    <d v="2024-07-27T00:00:00"/>
    <s v="Não"/>
    <x v="31"/>
    <x v="5"/>
    <s v="200g"/>
    <n v="9.9"/>
    <s v="OK"/>
    <n v="0"/>
    <x v="4"/>
    <x v="2"/>
    <x v="5"/>
    <x v="5"/>
    <n v="2024"/>
    <n v="2"/>
    <x v="125"/>
  </r>
  <r>
    <n v="118"/>
    <d v="2024-07-27T00:00:00"/>
    <s v="Não"/>
    <x v="18"/>
    <x v="1"/>
    <s v="1l"/>
    <n v="5.9"/>
    <s v="OK"/>
    <n v="5.31"/>
    <x v="1"/>
    <x v="0"/>
    <x v="5"/>
    <x v="5"/>
    <n v="2024"/>
    <n v="17"/>
    <x v="126"/>
  </r>
  <r>
    <n v="300"/>
    <d v="2024-07-26T00:00:00"/>
    <s v="Não"/>
    <x v="21"/>
    <x v="2"/>
    <s v="1kg"/>
    <n v="8.5"/>
    <s v="OK"/>
    <n v="0"/>
    <x v="5"/>
    <x v="2"/>
    <x v="5"/>
    <x v="5"/>
    <n v="2024"/>
    <n v="11"/>
    <x v="127"/>
  </r>
  <r>
    <n v="188"/>
    <d v="2024-07-24T00:00:00"/>
    <s v="Não"/>
    <x v="13"/>
    <x v="4"/>
    <s v="pacote"/>
    <n v="19.899999999999999"/>
    <s v="OK"/>
    <n v="0"/>
    <x v="1"/>
    <x v="0"/>
    <x v="5"/>
    <x v="5"/>
    <n v="2024"/>
    <n v="18"/>
    <x v="128"/>
  </r>
  <r>
    <n v="23"/>
    <d v="2024-07-23T00:00:00"/>
    <s v="Não"/>
    <x v="23"/>
    <x v="1"/>
    <s v="330ml"/>
    <n v="7.9"/>
    <s v="OK"/>
    <n v="0"/>
    <x v="5"/>
    <x v="2"/>
    <x v="5"/>
    <x v="5"/>
    <n v="2024"/>
    <n v="8"/>
    <x v="129"/>
  </r>
  <r>
    <n v="239"/>
    <d v="2024-07-21T00:00:00"/>
    <s v="Não"/>
    <x v="37"/>
    <x v="2"/>
    <s v="5kg"/>
    <n v="12.9"/>
    <s v="OK"/>
    <n v="11.61"/>
    <x v="0"/>
    <x v="2"/>
    <x v="5"/>
    <x v="5"/>
    <n v="2024"/>
    <n v="8"/>
    <x v="130"/>
  </r>
  <r>
    <n v="64"/>
    <d v="2024-07-21T00:00:00"/>
    <s v="Não"/>
    <x v="35"/>
    <x v="2"/>
    <s v="500g"/>
    <n v="18.899999999999999"/>
    <s v="OK"/>
    <n v="0"/>
    <x v="1"/>
    <x v="2"/>
    <x v="5"/>
    <x v="5"/>
    <n v="2024"/>
    <n v="22"/>
    <x v="131"/>
  </r>
  <r>
    <n v="293"/>
    <d v="2024-07-21T00:00:00"/>
    <s v="Não"/>
    <x v="7"/>
    <x v="0"/>
    <s v="500ml"/>
    <n v="2.5"/>
    <s v="OK"/>
    <n v="0"/>
    <x v="4"/>
    <x v="2"/>
    <x v="5"/>
    <x v="5"/>
    <n v="2024"/>
    <n v="2"/>
    <x v="132"/>
  </r>
  <r>
    <n v="123"/>
    <d v="2024-07-18T00:00:00"/>
    <s v="Não"/>
    <x v="18"/>
    <x v="1"/>
    <s v="1l"/>
    <n v="5.9"/>
    <s v="OK"/>
    <n v="6.49"/>
    <x v="3"/>
    <x v="0"/>
    <x v="5"/>
    <x v="5"/>
    <n v="2024"/>
    <n v="20"/>
    <x v="133"/>
  </r>
  <r>
    <n v="121"/>
    <d v="2024-07-18T00:00:00"/>
    <s v="Não"/>
    <x v="12"/>
    <x v="6"/>
    <s v="un"/>
    <n v="0.75"/>
    <s v="OK"/>
    <n v="1.35"/>
    <x v="5"/>
    <x v="0"/>
    <x v="5"/>
    <x v="5"/>
    <n v="2024"/>
    <n v="16"/>
    <x v="134"/>
  </r>
  <r>
    <n v="117"/>
    <d v="2024-07-15T00:00:00"/>
    <s v="Não"/>
    <x v="16"/>
    <x v="4"/>
    <s v="325ml"/>
    <n v="14.9"/>
    <s v="OK"/>
    <n v="0"/>
    <x v="0"/>
    <x v="2"/>
    <x v="5"/>
    <x v="5"/>
    <n v="2024"/>
    <n v="5"/>
    <x v="135"/>
  </r>
  <r>
    <n v="226"/>
    <d v="2024-07-14T00:00:00"/>
    <s v="Não"/>
    <x v="30"/>
    <x v="3"/>
    <s v="un"/>
    <n v="2.9"/>
    <s v="OK"/>
    <n v="3.48"/>
    <x v="2"/>
    <x v="1"/>
    <x v="5"/>
    <x v="5"/>
    <n v="2024"/>
    <n v="10"/>
    <x v="136"/>
  </r>
  <r>
    <n v="267"/>
    <d v="2024-07-14T00:00:00"/>
    <s v="Não"/>
    <x v="7"/>
    <x v="0"/>
    <s v="500ml"/>
    <n v="2.5"/>
    <s v="OK"/>
    <n v="0"/>
    <x v="1"/>
    <x v="1"/>
    <x v="5"/>
    <x v="5"/>
    <n v="2024"/>
    <n v="17"/>
    <x v="137"/>
  </r>
  <r>
    <n v="17"/>
    <d v="2024-07-13T00:00:00"/>
    <s v="Não"/>
    <x v="31"/>
    <x v="5"/>
    <s v="200g"/>
    <n v="9.9"/>
    <s v="OK"/>
    <n v="29.7"/>
    <x v="4"/>
    <x v="1"/>
    <x v="5"/>
    <x v="5"/>
    <n v="2024"/>
    <n v="27"/>
    <x v="138"/>
  </r>
  <r>
    <n v="296"/>
    <d v="2024-07-13T00:00:00"/>
    <s v="Não"/>
    <x v="4"/>
    <x v="3"/>
    <s v="kg"/>
    <n v="7.9"/>
    <s v="OK"/>
    <n v="0"/>
    <x v="5"/>
    <x v="1"/>
    <x v="5"/>
    <x v="5"/>
    <n v="2024"/>
    <n v="23"/>
    <x v="139"/>
  </r>
  <r>
    <n v="168"/>
    <d v="2024-07-13T00:00:00"/>
    <s v="Não"/>
    <x v="26"/>
    <x v="6"/>
    <s v="un"/>
    <n v="4.5"/>
    <s v="OK"/>
    <n v="6.75"/>
    <x v="2"/>
    <x v="1"/>
    <x v="5"/>
    <x v="5"/>
    <n v="2024"/>
    <n v="28"/>
    <x v="140"/>
  </r>
  <r>
    <n v="136"/>
    <d v="2024-07-11T00:00:00"/>
    <s v="Não"/>
    <x v="10"/>
    <x v="6"/>
    <s v="500g"/>
    <n v="8.9"/>
    <s v="OK"/>
    <n v="0"/>
    <x v="0"/>
    <x v="1"/>
    <x v="5"/>
    <x v="5"/>
    <n v="2024"/>
    <n v="23"/>
    <x v="141"/>
  </r>
  <r>
    <n v="39"/>
    <d v="2024-07-10T00:00:00"/>
    <s v="Não"/>
    <x v="26"/>
    <x v="6"/>
    <s v="un"/>
    <n v="4.5"/>
    <s v="OK"/>
    <n v="13.05"/>
    <x v="1"/>
    <x v="0"/>
    <x v="5"/>
    <x v="5"/>
    <n v="2024"/>
    <n v="26"/>
    <x v="142"/>
  </r>
  <r>
    <n v="272"/>
    <d v="2024-07-10T00:00:00"/>
    <s v="Não"/>
    <x v="17"/>
    <x v="2"/>
    <s v="400g"/>
    <n v="12.5"/>
    <s v="OK"/>
    <n v="13.75"/>
    <x v="0"/>
    <x v="0"/>
    <x v="5"/>
    <x v="5"/>
    <n v="2024"/>
    <n v="20"/>
    <x v="143"/>
  </r>
  <r>
    <n v="274"/>
    <d v="2024-07-09T00:00:00"/>
    <s v="Não"/>
    <x v="35"/>
    <x v="2"/>
    <s v="500g"/>
    <n v="18.899999999999999"/>
    <s v="OK"/>
    <n v="0"/>
    <x v="5"/>
    <x v="1"/>
    <x v="5"/>
    <x v="5"/>
    <n v="2024"/>
    <n v="18"/>
    <x v="97"/>
  </r>
  <r>
    <n v="78"/>
    <d v="2024-07-08T00:00:00"/>
    <s v="Não"/>
    <x v="34"/>
    <x v="3"/>
    <s v="kg"/>
    <n v="4.5"/>
    <s v="OK"/>
    <n v="0"/>
    <x v="1"/>
    <x v="0"/>
    <x v="5"/>
    <x v="5"/>
    <n v="2024"/>
    <n v="18"/>
    <x v="93"/>
  </r>
  <r>
    <n v="251"/>
    <d v="2024-07-07T00:00:00"/>
    <s v="Não"/>
    <x v="4"/>
    <x v="3"/>
    <s v="kg"/>
    <n v="7.9"/>
    <s v="OK"/>
    <n v="0"/>
    <x v="0"/>
    <x v="2"/>
    <x v="5"/>
    <x v="5"/>
    <n v="2024"/>
    <n v="29"/>
    <x v="144"/>
  </r>
  <r>
    <n v="14"/>
    <d v="2024-07-05T00:00:00"/>
    <s v="Não"/>
    <x v="44"/>
    <x v="2"/>
    <s v="144g"/>
    <n v="5.9"/>
    <s v="OK"/>
    <n v="0"/>
    <x v="4"/>
    <x v="1"/>
    <x v="5"/>
    <x v="5"/>
    <n v="2024"/>
    <n v="12"/>
    <x v="145"/>
  </r>
  <r>
    <n v="261"/>
    <d v="2024-07-04T00:00:00"/>
    <s v="Não"/>
    <x v="45"/>
    <x v="7"/>
    <s v="kg"/>
    <n v="24.9"/>
    <s v="OK"/>
    <n v="0"/>
    <x v="1"/>
    <x v="1"/>
    <x v="5"/>
    <x v="5"/>
    <n v="2024"/>
    <n v="19"/>
    <x v="146"/>
  </r>
  <r>
    <n v="67"/>
    <d v="2024-06-27T00:00:00"/>
    <s v="Não"/>
    <x v="2"/>
    <x v="2"/>
    <s v="340g"/>
    <n v="4.9000000000000004"/>
    <s v="OK"/>
    <n v="0"/>
    <x v="2"/>
    <x v="2"/>
    <x v="6"/>
    <x v="6"/>
    <n v="2024"/>
    <n v="29"/>
    <x v="147"/>
  </r>
  <r>
    <n v="186"/>
    <d v="2024-06-27T00:00:00"/>
    <s v="Não"/>
    <x v="12"/>
    <x v="6"/>
    <s v="un"/>
    <n v="0.75"/>
    <s v="OK"/>
    <n v="0"/>
    <x v="3"/>
    <x v="0"/>
    <x v="6"/>
    <x v="6"/>
    <n v="2024"/>
    <n v="11"/>
    <x v="148"/>
  </r>
  <r>
    <n v="139"/>
    <d v="2024-06-26T00:00:00"/>
    <s v="Não"/>
    <x v="4"/>
    <x v="3"/>
    <s v="kg"/>
    <n v="7.9"/>
    <s v="OK"/>
    <n v="0"/>
    <x v="0"/>
    <x v="1"/>
    <x v="6"/>
    <x v="6"/>
    <n v="2024"/>
    <n v="14"/>
    <x v="149"/>
  </r>
  <r>
    <n v="291"/>
    <d v="2024-06-25T00:00:00"/>
    <s v="Não"/>
    <x v="22"/>
    <x v="6"/>
    <s v="500g"/>
    <n v="24.9"/>
    <s v="OK"/>
    <n v="0"/>
    <x v="3"/>
    <x v="1"/>
    <x v="6"/>
    <x v="6"/>
    <n v="2024"/>
    <n v="4"/>
    <x v="49"/>
  </r>
  <r>
    <n v="90"/>
    <d v="2024-06-25T00:00:00"/>
    <s v="Não"/>
    <x v="6"/>
    <x v="4"/>
    <s v="90g"/>
    <n v="5.9"/>
    <s v="OK"/>
    <n v="0"/>
    <x v="1"/>
    <x v="1"/>
    <x v="6"/>
    <x v="6"/>
    <n v="2024"/>
    <n v="26"/>
    <x v="150"/>
  </r>
  <r>
    <n v="283"/>
    <d v="2024-06-22T00:00:00"/>
    <s v="Não"/>
    <x v="11"/>
    <x v="1"/>
    <s v="350ml"/>
    <n v="3.9"/>
    <s v="OK"/>
    <n v="0"/>
    <x v="4"/>
    <x v="1"/>
    <x v="6"/>
    <x v="6"/>
    <n v="2024"/>
    <n v="1"/>
    <x v="151"/>
  </r>
  <r>
    <n v="128"/>
    <d v="2024-06-21T00:00:00"/>
    <s v="Não"/>
    <x v="13"/>
    <x v="4"/>
    <s v="pacote"/>
    <n v="19.899999999999999"/>
    <s v="OK"/>
    <n v="28.86"/>
    <x v="2"/>
    <x v="2"/>
    <x v="6"/>
    <x v="6"/>
    <n v="2024"/>
    <n v="27"/>
    <x v="152"/>
  </r>
  <r>
    <n v="75"/>
    <d v="2024-06-19T00:00:00"/>
    <s v="Não"/>
    <x v="35"/>
    <x v="2"/>
    <s v="500g"/>
    <n v="18.899999999999999"/>
    <s v="OK"/>
    <n v="0"/>
    <x v="4"/>
    <x v="1"/>
    <x v="6"/>
    <x v="6"/>
    <n v="2024"/>
    <n v="21"/>
    <x v="153"/>
  </r>
  <r>
    <n v="204"/>
    <d v="2024-06-19T00:00:00"/>
    <s v="Não"/>
    <x v="20"/>
    <x v="3"/>
    <s v="kg"/>
    <n v="5.9"/>
    <s v="OK"/>
    <n v="14.75"/>
    <x v="1"/>
    <x v="2"/>
    <x v="6"/>
    <x v="6"/>
    <n v="2024"/>
    <n v="25"/>
    <x v="154"/>
  </r>
  <r>
    <n v="254"/>
    <d v="2024-06-19T00:00:00"/>
    <s v="Não"/>
    <x v="8"/>
    <x v="5"/>
    <s v="kg"/>
    <n v="32.9"/>
    <s v="OK"/>
    <n v="16.45"/>
    <x v="4"/>
    <x v="0"/>
    <x v="6"/>
    <x v="6"/>
    <n v="2024"/>
    <n v="5"/>
    <x v="155"/>
  </r>
  <r>
    <n v="43"/>
    <d v="2024-06-18T00:00:00"/>
    <s v="Não"/>
    <x v="2"/>
    <x v="2"/>
    <s v="340g"/>
    <n v="4.9000000000000004"/>
    <s v="OK"/>
    <n v="0"/>
    <x v="2"/>
    <x v="1"/>
    <x v="6"/>
    <x v="6"/>
    <n v="2024"/>
    <n v="17"/>
    <x v="156"/>
  </r>
  <r>
    <n v="212"/>
    <d v="2024-06-17T00:00:00"/>
    <s v="Não"/>
    <x v="15"/>
    <x v="4"/>
    <s v="325ml"/>
    <n v="14.9"/>
    <s v="OK"/>
    <n v="41.72"/>
    <x v="1"/>
    <x v="2"/>
    <x v="6"/>
    <x v="6"/>
    <n v="2024"/>
    <n v="25"/>
    <x v="157"/>
  </r>
  <r>
    <n v="234"/>
    <d v="2024-06-16T00:00:00"/>
    <s v="Não"/>
    <x v="9"/>
    <x v="4"/>
    <s v="pacote"/>
    <n v="54.9"/>
    <s v="OK"/>
    <n v="0"/>
    <x v="4"/>
    <x v="0"/>
    <x v="6"/>
    <x v="6"/>
    <n v="2024"/>
    <n v="14"/>
    <x v="158"/>
  </r>
  <r>
    <n v="18"/>
    <d v="2024-06-15T00:00:00"/>
    <s v="Não"/>
    <x v="46"/>
    <x v="2"/>
    <s v="500g"/>
    <n v="3.5"/>
    <s v="OK"/>
    <n v="0"/>
    <x v="2"/>
    <x v="2"/>
    <x v="6"/>
    <x v="6"/>
    <n v="2024"/>
    <n v="8"/>
    <x v="159"/>
  </r>
  <r>
    <n v="287"/>
    <d v="2024-06-15T00:00:00"/>
    <s v="Não"/>
    <x v="30"/>
    <x v="3"/>
    <s v="un"/>
    <n v="2.9"/>
    <s v="OK"/>
    <n v="0"/>
    <x v="0"/>
    <x v="0"/>
    <x v="6"/>
    <x v="6"/>
    <n v="2024"/>
    <n v="20"/>
    <x v="160"/>
  </r>
  <r>
    <n v="259"/>
    <d v="2024-06-14T00:00:00"/>
    <s v="Não"/>
    <x v="21"/>
    <x v="2"/>
    <s v="1kg"/>
    <n v="8.5"/>
    <s v="OK"/>
    <n v="0"/>
    <x v="0"/>
    <x v="0"/>
    <x v="6"/>
    <x v="6"/>
    <n v="2024"/>
    <n v="6"/>
    <x v="161"/>
  </r>
  <r>
    <n v="101"/>
    <d v="2024-06-13T00:00:00"/>
    <s v="Não"/>
    <x v="41"/>
    <x v="7"/>
    <s v="kg"/>
    <n v="22.9"/>
    <s v="OK"/>
    <n v="17.18"/>
    <x v="3"/>
    <x v="0"/>
    <x v="6"/>
    <x v="6"/>
    <n v="2024"/>
    <n v="14"/>
    <x v="162"/>
  </r>
  <r>
    <n v="205"/>
    <d v="2024-06-13T00:00:00"/>
    <s v="Não"/>
    <x v="27"/>
    <x v="5"/>
    <s v="1l"/>
    <n v="4.2"/>
    <s v="OK"/>
    <n v="0"/>
    <x v="5"/>
    <x v="2"/>
    <x v="6"/>
    <x v="6"/>
    <n v="2024"/>
    <n v="23"/>
    <x v="163"/>
  </r>
  <r>
    <n v="265"/>
    <d v="2024-06-13T00:00:00"/>
    <s v="Não"/>
    <x v="7"/>
    <x v="0"/>
    <s v="500ml"/>
    <n v="2.5"/>
    <s v="OK"/>
    <n v="0"/>
    <x v="4"/>
    <x v="2"/>
    <x v="6"/>
    <x v="6"/>
    <n v="2024"/>
    <n v="5"/>
    <x v="164"/>
  </r>
  <r>
    <n v="116"/>
    <d v="2024-06-12T00:00:00"/>
    <s v="Não"/>
    <x v="4"/>
    <x v="3"/>
    <s v="kg"/>
    <n v="7.9"/>
    <s v="OK"/>
    <n v="0"/>
    <x v="4"/>
    <x v="0"/>
    <x v="6"/>
    <x v="6"/>
    <n v="2024"/>
    <n v="3"/>
    <x v="165"/>
  </r>
  <r>
    <n v="189"/>
    <d v="2024-06-10T00:00:00"/>
    <s v="Não"/>
    <x v="24"/>
    <x v="5"/>
    <s v="200g"/>
    <n v="12.9"/>
    <s v="OK"/>
    <n v="0"/>
    <x v="1"/>
    <x v="1"/>
    <x v="6"/>
    <x v="6"/>
    <n v="2024"/>
    <n v="11"/>
    <x v="166"/>
  </r>
  <r>
    <n v="63"/>
    <d v="2024-06-10T00:00:00"/>
    <s v="Não"/>
    <x v="24"/>
    <x v="5"/>
    <s v="200g"/>
    <n v="12.9"/>
    <s v="OK"/>
    <n v="0"/>
    <x v="4"/>
    <x v="2"/>
    <x v="6"/>
    <x v="6"/>
    <n v="2024"/>
    <n v="7"/>
    <x v="167"/>
  </r>
  <r>
    <n v="277"/>
    <d v="2024-06-08T00:00:00"/>
    <s v="Não"/>
    <x v="11"/>
    <x v="1"/>
    <s v="350ml"/>
    <n v="3.9"/>
    <s v="OK"/>
    <n v="1.56"/>
    <x v="5"/>
    <x v="0"/>
    <x v="6"/>
    <x v="6"/>
    <n v="2024"/>
    <n v="3"/>
    <x v="168"/>
  </r>
  <r>
    <n v="245"/>
    <d v="2024-06-04T00:00:00"/>
    <s v="Não"/>
    <x v="32"/>
    <x v="7"/>
    <s v="kg"/>
    <n v="32.9"/>
    <s v="OK"/>
    <n v="0"/>
    <x v="4"/>
    <x v="1"/>
    <x v="6"/>
    <x v="6"/>
    <n v="2024"/>
    <n v="4"/>
    <x v="169"/>
  </r>
  <r>
    <n v="166"/>
    <d v="2024-06-04T00:00:00"/>
    <s v="Não"/>
    <x v="47"/>
    <x v="2"/>
    <s v="900ml"/>
    <n v="7.9"/>
    <s v="OK"/>
    <n v="0"/>
    <x v="5"/>
    <x v="2"/>
    <x v="6"/>
    <x v="6"/>
    <n v="2024"/>
    <n v="8"/>
    <x v="129"/>
  </r>
  <r>
    <n v="99"/>
    <d v="2024-06-03T00:00:00"/>
    <s v="Não"/>
    <x v="10"/>
    <x v="6"/>
    <s v="500g"/>
    <n v="8.9"/>
    <s v="OK"/>
    <n v="0"/>
    <x v="2"/>
    <x v="2"/>
    <x v="6"/>
    <x v="6"/>
    <n v="2024"/>
    <n v="18"/>
    <x v="170"/>
  </r>
  <r>
    <n v="70"/>
    <d v="2024-06-02T00:00:00"/>
    <s v="Não"/>
    <x v="42"/>
    <x v="0"/>
    <s v="un"/>
    <n v="3.9"/>
    <s v="OK"/>
    <n v="0"/>
    <x v="2"/>
    <x v="0"/>
    <x v="6"/>
    <x v="6"/>
    <n v="2024"/>
    <n v="4"/>
    <x v="119"/>
  </r>
  <r>
    <n v="227"/>
    <d v="2024-05-31T00:00:00"/>
    <s v="Não"/>
    <x v="21"/>
    <x v="2"/>
    <s v="1kg"/>
    <n v="8.5"/>
    <s v="OK"/>
    <n v="11.48"/>
    <x v="2"/>
    <x v="0"/>
    <x v="7"/>
    <x v="7"/>
    <n v="2024"/>
    <n v="25"/>
    <x v="171"/>
  </r>
  <r>
    <n v="11"/>
    <d v="2024-05-30T00:00:00"/>
    <s v="Não"/>
    <x v="0"/>
    <x v="0"/>
    <s v="1l"/>
    <n v="12.9"/>
    <s v="OK"/>
    <n v="0"/>
    <x v="5"/>
    <x v="0"/>
    <x v="7"/>
    <x v="7"/>
    <n v="2024"/>
    <n v="20"/>
    <x v="79"/>
  </r>
  <r>
    <n v="152"/>
    <d v="2024-05-30T00:00:00"/>
    <s v="Não"/>
    <x v="36"/>
    <x v="5"/>
    <s v="170g"/>
    <n v="4.9000000000000004"/>
    <s v="OK"/>
    <n v="0"/>
    <x v="2"/>
    <x v="1"/>
    <x v="7"/>
    <x v="7"/>
    <n v="2024"/>
    <n v="13"/>
    <x v="172"/>
  </r>
  <r>
    <n v="103"/>
    <d v="2024-05-25T00:00:00"/>
    <s v="Não"/>
    <x v="45"/>
    <x v="7"/>
    <s v="kg"/>
    <n v="24.9"/>
    <s v="OK"/>
    <n v="54.78"/>
    <x v="2"/>
    <x v="0"/>
    <x v="7"/>
    <x v="7"/>
    <n v="2024"/>
    <n v="19"/>
    <x v="173"/>
  </r>
  <r>
    <n v="174"/>
    <d v="2024-05-24T00:00:00"/>
    <s v="Não"/>
    <x v="16"/>
    <x v="4"/>
    <s v="325ml"/>
    <n v="14.9"/>
    <s v="OK"/>
    <n v="20.86"/>
    <x v="0"/>
    <x v="1"/>
    <x v="7"/>
    <x v="7"/>
    <n v="2024"/>
    <n v="26"/>
    <x v="174"/>
  </r>
  <r>
    <n v="202"/>
    <d v="2024-05-24T00:00:00"/>
    <s v="Não"/>
    <x v="6"/>
    <x v="4"/>
    <s v="90g"/>
    <n v="5.9"/>
    <s v="OK"/>
    <n v="5.9"/>
    <x v="5"/>
    <x v="1"/>
    <x v="7"/>
    <x v="7"/>
    <n v="2024"/>
    <n v="9"/>
    <x v="117"/>
  </r>
  <r>
    <n v="148"/>
    <d v="2024-05-23T00:00:00"/>
    <s v="Não"/>
    <x v="7"/>
    <x v="0"/>
    <s v="500ml"/>
    <n v="2.5"/>
    <s v="OK"/>
    <n v="0"/>
    <x v="5"/>
    <x v="0"/>
    <x v="7"/>
    <x v="7"/>
    <n v="2024"/>
    <n v="23"/>
    <x v="175"/>
  </r>
  <r>
    <n v="252"/>
    <d v="2024-05-21T00:00:00"/>
    <s v="Não"/>
    <x v="27"/>
    <x v="5"/>
    <s v="1l"/>
    <n v="4.2"/>
    <s v="OK"/>
    <n v="0.84"/>
    <x v="0"/>
    <x v="1"/>
    <x v="7"/>
    <x v="7"/>
    <n v="2024"/>
    <n v="3"/>
    <x v="176"/>
  </r>
  <r>
    <n v="180"/>
    <d v="2024-05-19T00:00:00"/>
    <s v="Não"/>
    <x v="45"/>
    <x v="7"/>
    <s v="kg"/>
    <n v="24.9"/>
    <s v="OK"/>
    <n v="22.41"/>
    <x v="1"/>
    <x v="0"/>
    <x v="7"/>
    <x v="7"/>
    <n v="2024"/>
    <n v="17"/>
    <x v="177"/>
  </r>
  <r>
    <n v="198"/>
    <d v="2024-05-19T00:00:00"/>
    <s v="Não"/>
    <x v="12"/>
    <x v="6"/>
    <s v="un"/>
    <n v="0.75"/>
    <s v="OK"/>
    <n v="1.01"/>
    <x v="1"/>
    <x v="0"/>
    <x v="7"/>
    <x v="7"/>
    <n v="2024"/>
    <n v="25"/>
    <x v="178"/>
  </r>
  <r>
    <n v="289"/>
    <d v="2024-05-19T00:00:00"/>
    <s v="Não"/>
    <x v="26"/>
    <x v="6"/>
    <s v="un"/>
    <n v="4.5"/>
    <s v="OK"/>
    <n v="4.95"/>
    <x v="1"/>
    <x v="1"/>
    <x v="7"/>
    <x v="7"/>
    <n v="2024"/>
    <n v="20"/>
    <x v="179"/>
  </r>
  <r>
    <n v="19"/>
    <d v="2024-05-17T00:00:00"/>
    <s v="Não"/>
    <x v="2"/>
    <x v="2"/>
    <s v="340g"/>
    <n v="4.9000000000000004"/>
    <s v="OK"/>
    <n v="3.43"/>
    <x v="3"/>
    <x v="2"/>
    <x v="7"/>
    <x v="7"/>
    <n v="2024"/>
    <n v="6"/>
    <x v="180"/>
  </r>
  <r>
    <n v="282"/>
    <d v="2024-05-16T00:00:00"/>
    <s v="Não"/>
    <x v="21"/>
    <x v="2"/>
    <s v="1kg"/>
    <n v="8.5"/>
    <s v="OK"/>
    <n v="0"/>
    <x v="3"/>
    <x v="2"/>
    <x v="7"/>
    <x v="7"/>
    <n v="2024"/>
    <n v="6"/>
    <x v="161"/>
  </r>
  <r>
    <n v="177"/>
    <d v="2024-05-16T00:00:00"/>
    <s v="Não"/>
    <x v="17"/>
    <x v="2"/>
    <s v="400g"/>
    <n v="12.5"/>
    <s v="OK"/>
    <n v="0"/>
    <x v="4"/>
    <x v="2"/>
    <x v="7"/>
    <x v="7"/>
    <n v="2024"/>
    <n v="3"/>
    <x v="181"/>
  </r>
  <r>
    <n v="28"/>
    <d v="2024-05-16T00:00:00"/>
    <s v="Não"/>
    <x v="25"/>
    <x v="0"/>
    <s v="500ml"/>
    <n v="5.9"/>
    <s v="OK"/>
    <n v="0"/>
    <x v="2"/>
    <x v="2"/>
    <x v="7"/>
    <x v="7"/>
    <n v="2024"/>
    <n v="11"/>
    <x v="182"/>
  </r>
  <r>
    <n v="15"/>
    <d v="2024-05-16T00:00:00"/>
    <s v="Não"/>
    <x v="16"/>
    <x v="4"/>
    <s v="325ml"/>
    <n v="14.9"/>
    <s v="OK"/>
    <n v="0"/>
    <x v="5"/>
    <x v="1"/>
    <x v="7"/>
    <x v="7"/>
    <n v="2024"/>
    <n v="30"/>
    <x v="183"/>
  </r>
  <r>
    <n v="211"/>
    <d v="2024-05-15T00:00:00"/>
    <s v="Não"/>
    <x v="18"/>
    <x v="1"/>
    <s v="1l"/>
    <n v="5.9"/>
    <s v="OK"/>
    <n v="5.9"/>
    <x v="3"/>
    <x v="0"/>
    <x v="7"/>
    <x v="7"/>
    <n v="2024"/>
    <n v="19"/>
    <x v="184"/>
  </r>
  <r>
    <n v="127"/>
    <d v="2024-05-13T00:00:00"/>
    <s v="Não"/>
    <x v="1"/>
    <x v="1"/>
    <s v="473ml"/>
    <n v="11.9"/>
    <s v="OK"/>
    <n v="0"/>
    <x v="1"/>
    <x v="2"/>
    <x v="7"/>
    <x v="7"/>
    <n v="2024"/>
    <n v="11"/>
    <x v="15"/>
  </r>
  <r>
    <n v="236"/>
    <d v="2024-05-11T00:00:00"/>
    <s v="Não"/>
    <x v="33"/>
    <x v="7"/>
    <s v="kg"/>
    <n v="89.9"/>
    <s v="OK"/>
    <n v="0"/>
    <x v="3"/>
    <x v="2"/>
    <x v="7"/>
    <x v="7"/>
    <n v="2024"/>
    <n v="26"/>
    <x v="82"/>
  </r>
  <r>
    <n v="129"/>
    <d v="2024-05-09T00:00:00"/>
    <s v="Não"/>
    <x v="47"/>
    <x v="2"/>
    <s v="900ml"/>
    <n v="7.9"/>
    <s v="OK"/>
    <n v="0"/>
    <x v="3"/>
    <x v="1"/>
    <x v="7"/>
    <x v="7"/>
    <n v="2024"/>
    <n v="16"/>
    <x v="185"/>
  </r>
  <r>
    <n v="110"/>
    <d v="2024-05-07T00:00:00"/>
    <s v="Não"/>
    <x v="14"/>
    <x v="2"/>
    <s v="1kg"/>
    <n v="2.9"/>
    <s v="OK"/>
    <n v="0"/>
    <x v="1"/>
    <x v="1"/>
    <x v="7"/>
    <x v="7"/>
    <n v="2024"/>
    <n v="15"/>
    <x v="186"/>
  </r>
  <r>
    <n v="40"/>
    <d v="2024-05-06T00:00:00"/>
    <s v="Não"/>
    <x v="36"/>
    <x v="5"/>
    <s v="170g"/>
    <n v="4.9000000000000004"/>
    <s v="OK"/>
    <n v="0"/>
    <x v="0"/>
    <x v="1"/>
    <x v="7"/>
    <x v="7"/>
    <n v="2024"/>
    <n v="3"/>
    <x v="187"/>
  </r>
  <r>
    <n v="218"/>
    <d v="2024-05-05T00:00:00"/>
    <s v="Não"/>
    <x v="40"/>
    <x v="3"/>
    <s v="kg"/>
    <n v="3.9"/>
    <s v="OK"/>
    <n v="5.46"/>
    <x v="3"/>
    <x v="0"/>
    <x v="7"/>
    <x v="7"/>
    <n v="2024"/>
    <n v="12"/>
    <x v="188"/>
  </r>
  <r>
    <n v="34"/>
    <d v="2024-05-03T00:00:00"/>
    <s v="Não"/>
    <x v="30"/>
    <x v="3"/>
    <s v="un"/>
    <n v="2.9"/>
    <s v="OK"/>
    <n v="0"/>
    <x v="3"/>
    <x v="2"/>
    <x v="7"/>
    <x v="7"/>
    <n v="2024"/>
    <n v="3"/>
    <x v="189"/>
  </r>
  <r>
    <n v="132"/>
    <d v="2024-05-02T00:00:00"/>
    <s v="Não"/>
    <x v="35"/>
    <x v="2"/>
    <s v="500g"/>
    <n v="18.899999999999999"/>
    <s v="OK"/>
    <n v="0"/>
    <x v="5"/>
    <x v="0"/>
    <x v="7"/>
    <x v="7"/>
    <n v="2024"/>
    <n v="16"/>
    <x v="190"/>
  </r>
  <r>
    <n v="104"/>
    <d v="2024-04-30T00:00:00"/>
    <s v="Não"/>
    <x v="15"/>
    <x v="4"/>
    <s v="325ml"/>
    <n v="14.9"/>
    <s v="OK"/>
    <n v="0"/>
    <x v="4"/>
    <x v="0"/>
    <x v="8"/>
    <x v="8"/>
    <n v="2024"/>
    <n v="10"/>
    <x v="191"/>
  </r>
  <r>
    <n v="175"/>
    <d v="2024-04-29T00:00:00"/>
    <s v="Não"/>
    <x v="24"/>
    <x v="5"/>
    <s v="200g"/>
    <n v="12.9"/>
    <s v="OK"/>
    <n v="33.54"/>
    <x v="3"/>
    <x v="0"/>
    <x v="8"/>
    <x v="8"/>
    <n v="2024"/>
    <n v="23"/>
    <x v="192"/>
  </r>
  <r>
    <n v="13"/>
    <d v="2024-04-29T00:00:00"/>
    <s v="Não"/>
    <x v="3"/>
    <x v="2"/>
    <s v="1kg"/>
    <n v="4.5"/>
    <s v="OK"/>
    <n v="0"/>
    <x v="1"/>
    <x v="1"/>
    <x v="8"/>
    <x v="8"/>
    <n v="2024"/>
    <n v="13"/>
    <x v="3"/>
  </r>
  <r>
    <n v="206"/>
    <d v="2024-04-29T00:00:00"/>
    <s v="Não"/>
    <x v="12"/>
    <x v="6"/>
    <s v="un"/>
    <n v="0.75"/>
    <s v="OK"/>
    <n v="0"/>
    <x v="3"/>
    <x v="2"/>
    <x v="8"/>
    <x v="8"/>
    <n v="2024"/>
    <n v="2"/>
    <x v="193"/>
  </r>
  <r>
    <n v="270"/>
    <d v="2024-04-26T00:00:00"/>
    <s v="Não"/>
    <x v="12"/>
    <x v="6"/>
    <s v="un"/>
    <n v="0.75"/>
    <s v="OK"/>
    <n v="0.41"/>
    <x v="1"/>
    <x v="2"/>
    <x v="8"/>
    <x v="8"/>
    <n v="2024"/>
    <n v="10"/>
    <x v="17"/>
  </r>
  <r>
    <n v="262"/>
    <d v="2024-04-23T00:00:00"/>
    <s v="Não"/>
    <x v="43"/>
    <x v="0"/>
    <s v="1kg"/>
    <n v="18.899999999999999"/>
    <s v="OK"/>
    <n v="3.78"/>
    <x v="2"/>
    <x v="2"/>
    <x v="8"/>
    <x v="8"/>
    <n v="2024"/>
    <n v="1"/>
    <x v="194"/>
  </r>
  <r>
    <n v="230"/>
    <d v="2024-04-22T00:00:00"/>
    <s v="Não"/>
    <x v="0"/>
    <x v="0"/>
    <s v="1l"/>
    <n v="12.9"/>
    <s v="OK"/>
    <n v="9.0299999999999994"/>
    <x v="2"/>
    <x v="1"/>
    <x v="8"/>
    <x v="8"/>
    <n v="2024"/>
    <n v="6"/>
    <x v="195"/>
  </r>
  <r>
    <n v="253"/>
    <d v="2024-04-18T00:00:00"/>
    <s v="Não"/>
    <x v="25"/>
    <x v="0"/>
    <s v="500ml"/>
    <n v="5.9"/>
    <s v="OK"/>
    <n v="12.39"/>
    <x v="0"/>
    <x v="0"/>
    <x v="8"/>
    <x v="8"/>
    <n v="2024"/>
    <n v="18"/>
    <x v="196"/>
  </r>
  <r>
    <n v="294"/>
    <d v="2024-04-18T00:00:00"/>
    <s v="Não"/>
    <x v="35"/>
    <x v="2"/>
    <s v="500g"/>
    <n v="18.899999999999999"/>
    <s v="OK"/>
    <n v="0"/>
    <x v="2"/>
    <x v="2"/>
    <x v="8"/>
    <x v="8"/>
    <n v="2024"/>
    <n v="25"/>
    <x v="197"/>
  </r>
  <r>
    <n v="20"/>
    <d v="2024-04-18T00:00:00"/>
    <s v="Não"/>
    <x v="25"/>
    <x v="0"/>
    <s v="500ml"/>
    <n v="5.9"/>
    <s v="OK"/>
    <n v="4.72"/>
    <x v="3"/>
    <x v="2"/>
    <x v="8"/>
    <x v="8"/>
    <n v="2024"/>
    <n v="15"/>
    <x v="198"/>
  </r>
  <r>
    <n v="100"/>
    <d v="2024-04-17T00:00:00"/>
    <s v="Não"/>
    <x v="22"/>
    <x v="6"/>
    <s v="500g"/>
    <n v="24.9"/>
    <s v="OK"/>
    <n v="64.739999999999995"/>
    <x v="5"/>
    <x v="1"/>
    <x v="8"/>
    <x v="8"/>
    <n v="2024"/>
    <n v="23"/>
    <x v="199"/>
  </r>
  <r>
    <n v="119"/>
    <d v="2024-04-15T00:00:00"/>
    <s v="Não"/>
    <x v="12"/>
    <x v="6"/>
    <s v="un"/>
    <n v="0.75"/>
    <s v="OK"/>
    <n v="0.98"/>
    <x v="3"/>
    <x v="0"/>
    <x v="8"/>
    <x v="8"/>
    <n v="2024"/>
    <n v="11"/>
    <x v="200"/>
  </r>
  <r>
    <n v="85"/>
    <d v="2024-04-12T00:00:00"/>
    <s v="Não"/>
    <x v="41"/>
    <x v="7"/>
    <s v="kg"/>
    <n v="22.9"/>
    <s v="OK"/>
    <n v="0"/>
    <x v="4"/>
    <x v="0"/>
    <x v="8"/>
    <x v="8"/>
    <n v="2024"/>
    <n v="12"/>
    <x v="201"/>
  </r>
  <r>
    <n v="38"/>
    <d v="2024-04-12T00:00:00"/>
    <s v="Não"/>
    <x v="19"/>
    <x v="4"/>
    <s v="90g"/>
    <n v="4.9000000000000004"/>
    <s v="OK"/>
    <n v="2.4500000000000002"/>
    <x v="3"/>
    <x v="1"/>
    <x v="8"/>
    <x v="8"/>
    <n v="2024"/>
    <n v="10"/>
    <x v="202"/>
  </r>
  <r>
    <n v="225"/>
    <d v="2024-04-11T00:00:00"/>
    <s v="Não"/>
    <x v="1"/>
    <x v="1"/>
    <s v="473ml"/>
    <n v="11.9"/>
    <s v="OK"/>
    <n v="16.66"/>
    <x v="0"/>
    <x v="0"/>
    <x v="8"/>
    <x v="8"/>
    <n v="2024"/>
    <n v="26"/>
    <x v="203"/>
  </r>
  <r>
    <n v="159"/>
    <d v="2024-04-09T00:00:00"/>
    <s v="Não"/>
    <x v="38"/>
    <x v="1"/>
    <s v="2l"/>
    <n v="8.5"/>
    <s v="OK"/>
    <n v="0"/>
    <x v="4"/>
    <x v="2"/>
    <x v="8"/>
    <x v="8"/>
    <n v="2024"/>
    <n v="8"/>
    <x v="204"/>
  </r>
  <r>
    <n v="157"/>
    <d v="2024-04-08T00:00:00"/>
    <s v="Não"/>
    <x v="28"/>
    <x v="5"/>
    <s v="1l"/>
    <n v="4.5"/>
    <s v="OK"/>
    <n v="5.4"/>
    <x v="2"/>
    <x v="1"/>
    <x v="8"/>
    <x v="8"/>
    <n v="2024"/>
    <n v="22"/>
    <x v="205"/>
  </r>
  <r>
    <n v="156"/>
    <d v="2024-04-08T00:00:00"/>
    <s v="Não"/>
    <x v="48"/>
    <x v="1"/>
    <s v="1,5l"/>
    <n v="2.5"/>
    <s v="OK"/>
    <n v="1"/>
    <x v="3"/>
    <x v="0"/>
    <x v="8"/>
    <x v="8"/>
    <n v="2024"/>
    <n v="3"/>
    <x v="206"/>
  </r>
  <r>
    <n v="147"/>
    <d v="2024-04-03T00:00:00"/>
    <s v="Não"/>
    <x v="32"/>
    <x v="7"/>
    <s v="kg"/>
    <n v="32.9"/>
    <s v="OK"/>
    <n v="0"/>
    <x v="2"/>
    <x v="2"/>
    <x v="8"/>
    <x v="8"/>
    <n v="2024"/>
    <n v="7"/>
    <x v="207"/>
  </r>
  <r>
    <n v="109"/>
    <d v="2024-03-31T00:00:00"/>
    <s v="Não"/>
    <x v="16"/>
    <x v="4"/>
    <s v="325ml"/>
    <n v="14.9"/>
    <s v="OK"/>
    <n v="12.67"/>
    <x v="0"/>
    <x v="1"/>
    <x v="9"/>
    <x v="9"/>
    <n v="2024"/>
    <n v="16"/>
    <x v="208"/>
  </r>
  <r>
    <n v="82"/>
    <d v="2024-03-31T00:00:00"/>
    <s v="Não"/>
    <x v="12"/>
    <x v="6"/>
    <s v="un"/>
    <n v="0.75"/>
    <s v="OK"/>
    <n v="0"/>
    <x v="3"/>
    <x v="2"/>
    <x v="9"/>
    <x v="9"/>
    <n v="2024"/>
    <n v="1"/>
    <x v="209"/>
  </r>
  <r>
    <n v="184"/>
    <d v="2024-03-30T00:00:00"/>
    <s v="Não"/>
    <x v="33"/>
    <x v="7"/>
    <s v="kg"/>
    <n v="89.9"/>
    <s v="OK"/>
    <n v="76.42"/>
    <x v="2"/>
    <x v="0"/>
    <x v="9"/>
    <x v="9"/>
    <n v="2024"/>
    <n v="16"/>
    <x v="210"/>
  </r>
  <r>
    <n v="16"/>
    <d v="2024-03-28T00:00:00"/>
    <s v="Não"/>
    <x v="4"/>
    <x v="3"/>
    <s v="kg"/>
    <n v="7.9"/>
    <s v="OK"/>
    <n v="0"/>
    <x v="4"/>
    <x v="2"/>
    <x v="9"/>
    <x v="9"/>
    <n v="2024"/>
    <n v="24"/>
    <x v="61"/>
  </r>
  <r>
    <n v="219"/>
    <d v="2024-03-28T00:00:00"/>
    <s v="Não"/>
    <x v="39"/>
    <x v="2"/>
    <s v="144g"/>
    <n v="4.2"/>
    <s v="OK"/>
    <n v="1.26"/>
    <x v="1"/>
    <x v="1"/>
    <x v="9"/>
    <x v="9"/>
    <n v="2024"/>
    <n v="2"/>
    <x v="211"/>
  </r>
  <r>
    <n v="53"/>
    <d v="2024-03-26T00:00:00"/>
    <s v="Não"/>
    <x v="12"/>
    <x v="6"/>
    <s v="un"/>
    <n v="0.75"/>
    <s v="OK"/>
    <n v="0.6"/>
    <x v="4"/>
    <x v="2"/>
    <x v="9"/>
    <x v="9"/>
    <n v="2024"/>
    <n v="15"/>
    <x v="212"/>
  </r>
  <r>
    <n v="187"/>
    <d v="2024-03-23T00:00:00"/>
    <s v="Não"/>
    <x v="18"/>
    <x v="1"/>
    <s v="1l"/>
    <n v="5.9"/>
    <s v="OK"/>
    <n v="4.13"/>
    <x v="2"/>
    <x v="1"/>
    <x v="9"/>
    <x v="9"/>
    <n v="2024"/>
    <n v="13"/>
    <x v="213"/>
  </r>
  <r>
    <n v="25"/>
    <d v="2024-03-22T00:00:00"/>
    <s v="Não"/>
    <x v="15"/>
    <x v="4"/>
    <s v="325ml"/>
    <n v="14.9"/>
    <s v="OK"/>
    <n v="20.86"/>
    <x v="0"/>
    <x v="2"/>
    <x v="9"/>
    <x v="9"/>
    <n v="2024"/>
    <n v="12"/>
    <x v="214"/>
  </r>
  <r>
    <n v="195"/>
    <d v="2024-03-22T00:00:00"/>
    <s v="Não"/>
    <x v="5"/>
    <x v="1"/>
    <s v="2l"/>
    <n v="6.9"/>
    <s v="OK"/>
    <n v="0"/>
    <x v="5"/>
    <x v="2"/>
    <x v="9"/>
    <x v="9"/>
    <n v="2024"/>
    <n v="18"/>
    <x v="215"/>
  </r>
  <r>
    <n v="29"/>
    <d v="2024-03-21T00:00:00"/>
    <s v="Não"/>
    <x v="41"/>
    <x v="7"/>
    <s v="kg"/>
    <n v="22.9"/>
    <s v="OK"/>
    <n v="0"/>
    <x v="5"/>
    <x v="0"/>
    <x v="9"/>
    <x v="9"/>
    <n v="2024"/>
    <n v="1"/>
    <x v="216"/>
  </r>
  <r>
    <n v="223"/>
    <d v="2024-03-21T00:00:00"/>
    <s v="Não"/>
    <x v="2"/>
    <x v="2"/>
    <s v="340g"/>
    <n v="4.9000000000000004"/>
    <s v="OK"/>
    <n v="0"/>
    <x v="5"/>
    <x v="2"/>
    <x v="9"/>
    <x v="9"/>
    <n v="2024"/>
    <n v="15"/>
    <x v="217"/>
  </r>
  <r>
    <n v="288"/>
    <d v="2024-03-21T00:00:00"/>
    <s v="Não"/>
    <x v="13"/>
    <x v="4"/>
    <s v="pacote"/>
    <n v="19.899999999999999"/>
    <s v="OK"/>
    <n v="0"/>
    <x v="3"/>
    <x v="0"/>
    <x v="9"/>
    <x v="9"/>
    <n v="2024"/>
    <n v="20"/>
    <x v="218"/>
  </r>
  <r>
    <n v="172"/>
    <d v="2024-03-21T00:00:00"/>
    <s v="Não"/>
    <x v="37"/>
    <x v="2"/>
    <s v="5kg"/>
    <n v="12.9"/>
    <s v="OK"/>
    <n v="9.0299999999999994"/>
    <x v="3"/>
    <x v="1"/>
    <x v="9"/>
    <x v="9"/>
    <n v="2024"/>
    <n v="13"/>
    <x v="219"/>
  </r>
  <r>
    <n v="59"/>
    <d v="2024-03-21T00:00:00"/>
    <s v="Não"/>
    <x v="46"/>
    <x v="2"/>
    <s v="500g"/>
    <n v="3.5"/>
    <s v="OK"/>
    <n v="0"/>
    <x v="4"/>
    <x v="0"/>
    <x v="9"/>
    <x v="9"/>
    <n v="2024"/>
    <n v="17"/>
    <x v="220"/>
  </r>
  <r>
    <n v="68"/>
    <d v="2024-03-21T00:00:00"/>
    <s v="Não"/>
    <x v="26"/>
    <x v="6"/>
    <s v="un"/>
    <n v="4.5"/>
    <s v="OK"/>
    <n v="12.15"/>
    <x v="3"/>
    <x v="2"/>
    <x v="9"/>
    <x v="9"/>
    <n v="2024"/>
    <n v="24"/>
    <x v="221"/>
  </r>
  <r>
    <n v="278"/>
    <d v="2024-03-20T00:00:00"/>
    <s v="Não"/>
    <x v="42"/>
    <x v="0"/>
    <s v="un"/>
    <n v="3.9"/>
    <s v="OK"/>
    <n v="0"/>
    <x v="0"/>
    <x v="2"/>
    <x v="9"/>
    <x v="9"/>
    <n v="2024"/>
    <n v="16"/>
    <x v="222"/>
  </r>
  <r>
    <n v="248"/>
    <d v="2024-03-20T00:00:00"/>
    <s v="Não"/>
    <x v="12"/>
    <x v="6"/>
    <s v="un"/>
    <n v="0.75"/>
    <s v="OK"/>
    <n v="0"/>
    <x v="1"/>
    <x v="1"/>
    <x v="9"/>
    <x v="9"/>
    <n v="2024"/>
    <n v="21"/>
    <x v="223"/>
  </r>
  <r>
    <n v="256"/>
    <d v="2024-03-16T00:00:00"/>
    <s v="Não"/>
    <x v="7"/>
    <x v="0"/>
    <s v="500ml"/>
    <n v="2.5"/>
    <s v="OK"/>
    <n v="0"/>
    <x v="4"/>
    <x v="0"/>
    <x v="9"/>
    <x v="9"/>
    <n v="2024"/>
    <n v="1"/>
    <x v="224"/>
  </r>
  <r>
    <n v="21"/>
    <d v="2024-03-14T00:00:00"/>
    <s v="Não"/>
    <x v="24"/>
    <x v="5"/>
    <s v="200g"/>
    <n v="12.9"/>
    <s v="OK"/>
    <n v="0"/>
    <x v="3"/>
    <x v="1"/>
    <x v="9"/>
    <x v="9"/>
    <n v="2024"/>
    <n v="5"/>
    <x v="225"/>
  </r>
  <r>
    <n v="210"/>
    <d v="2024-03-14T00:00:00"/>
    <s v="Não"/>
    <x v="12"/>
    <x v="6"/>
    <s v="un"/>
    <n v="0.75"/>
    <s v="OK"/>
    <n v="0"/>
    <x v="0"/>
    <x v="2"/>
    <x v="9"/>
    <x v="9"/>
    <n v="2024"/>
    <n v="28"/>
    <x v="45"/>
  </r>
  <r>
    <n v="2"/>
    <d v="2024-03-12T00:00:00"/>
    <s v="Não"/>
    <x v="9"/>
    <x v="4"/>
    <s v="pacote"/>
    <n v="54.9"/>
    <s v="OK"/>
    <n v="21.96"/>
    <x v="0"/>
    <x v="1"/>
    <x v="9"/>
    <x v="9"/>
    <n v="2024"/>
    <n v="3"/>
    <x v="226"/>
  </r>
  <r>
    <n v="50"/>
    <d v="2024-03-12T00:00:00"/>
    <s v="Não"/>
    <x v="22"/>
    <x v="6"/>
    <s v="500g"/>
    <n v="24.9"/>
    <s v="OK"/>
    <n v="0"/>
    <x v="1"/>
    <x v="0"/>
    <x v="9"/>
    <x v="9"/>
    <n v="2024"/>
    <n v="6"/>
    <x v="227"/>
  </r>
  <r>
    <n v="246"/>
    <d v="2024-03-10T00:00:00"/>
    <s v="Não"/>
    <x v="1"/>
    <x v="1"/>
    <s v="473ml"/>
    <n v="11.9"/>
    <s v="OK"/>
    <n v="0"/>
    <x v="3"/>
    <x v="1"/>
    <x v="9"/>
    <x v="9"/>
    <n v="2024"/>
    <n v="15"/>
    <x v="228"/>
  </r>
  <r>
    <n v="208"/>
    <d v="2024-03-05T00:00:00"/>
    <s v="Não"/>
    <x v="45"/>
    <x v="7"/>
    <s v="kg"/>
    <n v="24.9"/>
    <s v="OK"/>
    <n v="0"/>
    <x v="0"/>
    <x v="2"/>
    <x v="9"/>
    <x v="9"/>
    <n v="2024"/>
    <n v="19"/>
    <x v="146"/>
  </r>
  <r>
    <n v="179"/>
    <d v="2024-03-04T00:00:00"/>
    <s v="Não"/>
    <x v="41"/>
    <x v="7"/>
    <s v="kg"/>
    <n v="22.9"/>
    <s v="OK"/>
    <n v="0"/>
    <x v="3"/>
    <x v="2"/>
    <x v="9"/>
    <x v="9"/>
    <n v="2024"/>
    <n v="23"/>
    <x v="229"/>
  </r>
  <r>
    <n v="295"/>
    <d v="2024-03-02T00:00:00"/>
    <s v="Não"/>
    <x v="37"/>
    <x v="2"/>
    <s v="5kg"/>
    <n v="12.9"/>
    <s v="OK"/>
    <n v="10.32"/>
    <x v="4"/>
    <x v="0"/>
    <x v="9"/>
    <x v="9"/>
    <n v="2024"/>
    <n v="15"/>
    <x v="230"/>
  </r>
  <r>
    <n v="237"/>
    <d v="2024-02-28T00:00:00"/>
    <s v="Não"/>
    <x v="41"/>
    <x v="7"/>
    <s v="kg"/>
    <n v="22.9"/>
    <s v="OK"/>
    <n v="0"/>
    <x v="4"/>
    <x v="1"/>
    <x v="10"/>
    <x v="10"/>
    <n v="2024"/>
    <n v="3"/>
    <x v="231"/>
  </r>
  <r>
    <n v="164"/>
    <d v="2024-02-28T00:00:00"/>
    <s v="Não"/>
    <x v="2"/>
    <x v="2"/>
    <s v="340g"/>
    <n v="4.9000000000000004"/>
    <s v="OK"/>
    <n v="3.19"/>
    <x v="0"/>
    <x v="1"/>
    <x v="10"/>
    <x v="10"/>
    <n v="2024"/>
    <n v="12"/>
    <x v="232"/>
  </r>
  <r>
    <n v="77"/>
    <d v="2024-02-27T00:00:00"/>
    <s v="Não"/>
    <x v="2"/>
    <x v="2"/>
    <s v="340g"/>
    <n v="4.9000000000000004"/>
    <s v="OK"/>
    <n v="0"/>
    <x v="5"/>
    <x v="0"/>
    <x v="10"/>
    <x v="10"/>
    <n v="2024"/>
    <n v="29"/>
    <x v="147"/>
  </r>
  <r>
    <n v="33"/>
    <d v="2024-02-27T00:00:00"/>
    <s v="Não"/>
    <x v="23"/>
    <x v="1"/>
    <s v="330ml"/>
    <n v="7.9"/>
    <s v="OK"/>
    <n v="0"/>
    <x v="4"/>
    <x v="0"/>
    <x v="10"/>
    <x v="10"/>
    <n v="2024"/>
    <n v="29"/>
    <x v="144"/>
  </r>
  <r>
    <n v="49"/>
    <d v="2024-02-25T00:00:00"/>
    <s v="Não"/>
    <x v="8"/>
    <x v="5"/>
    <s v="kg"/>
    <n v="32.9"/>
    <s v="OK"/>
    <n v="0"/>
    <x v="5"/>
    <x v="2"/>
    <x v="10"/>
    <x v="10"/>
    <n v="2024"/>
    <n v="7"/>
    <x v="207"/>
  </r>
  <r>
    <n v="135"/>
    <d v="2024-02-25T00:00:00"/>
    <s v="Não"/>
    <x v="34"/>
    <x v="3"/>
    <s v="kg"/>
    <n v="4.5"/>
    <s v="OK"/>
    <n v="0"/>
    <x v="5"/>
    <x v="1"/>
    <x v="10"/>
    <x v="10"/>
    <n v="2024"/>
    <n v="1"/>
    <x v="64"/>
  </r>
  <r>
    <n v="71"/>
    <d v="2024-02-24T00:00:00"/>
    <s v="Não"/>
    <x v="9"/>
    <x v="4"/>
    <s v="pacote"/>
    <n v="54.9"/>
    <s v="OK"/>
    <n v="0"/>
    <x v="2"/>
    <x v="2"/>
    <x v="10"/>
    <x v="10"/>
    <n v="2024"/>
    <n v="18"/>
    <x v="62"/>
  </r>
  <r>
    <n v="8"/>
    <d v="2024-02-22T00:00:00"/>
    <s v="Não"/>
    <x v="47"/>
    <x v="2"/>
    <s v="900ml"/>
    <n v="7.9"/>
    <s v="OK"/>
    <n v="0"/>
    <x v="2"/>
    <x v="2"/>
    <x v="10"/>
    <x v="10"/>
    <n v="2024"/>
    <n v="13"/>
    <x v="233"/>
  </r>
  <r>
    <n v="162"/>
    <d v="2024-02-22T00:00:00"/>
    <s v="Não"/>
    <x v="37"/>
    <x v="2"/>
    <s v="5kg"/>
    <n v="12.9"/>
    <s v="OK"/>
    <n v="0"/>
    <x v="1"/>
    <x v="2"/>
    <x v="10"/>
    <x v="10"/>
    <n v="2024"/>
    <n v="19"/>
    <x v="234"/>
  </r>
  <r>
    <n v="209"/>
    <d v="2024-02-21T00:00:00"/>
    <s v="Não"/>
    <x v="40"/>
    <x v="3"/>
    <s v="kg"/>
    <n v="3.9"/>
    <s v="OK"/>
    <n v="5.85"/>
    <x v="0"/>
    <x v="1"/>
    <x v="10"/>
    <x v="10"/>
    <n v="2024"/>
    <n v="28"/>
    <x v="235"/>
  </r>
  <r>
    <n v="170"/>
    <d v="2024-02-20T00:00:00"/>
    <s v="Não"/>
    <x v="13"/>
    <x v="4"/>
    <s v="pacote"/>
    <n v="19.899999999999999"/>
    <s v="OK"/>
    <n v="0"/>
    <x v="2"/>
    <x v="1"/>
    <x v="10"/>
    <x v="10"/>
    <n v="2024"/>
    <n v="7"/>
    <x v="236"/>
  </r>
  <r>
    <n v="46"/>
    <d v="2024-02-18T00:00:00"/>
    <s v="Não"/>
    <x v="3"/>
    <x v="2"/>
    <s v="1kg"/>
    <n v="4.5"/>
    <s v="OK"/>
    <n v="4.95"/>
    <x v="2"/>
    <x v="2"/>
    <x v="10"/>
    <x v="10"/>
    <n v="2024"/>
    <n v="20"/>
    <x v="179"/>
  </r>
  <r>
    <n v="271"/>
    <d v="2024-02-18T00:00:00"/>
    <s v="Não"/>
    <x v="48"/>
    <x v="1"/>
    <s v="1,5l"/>
    <n v="2.5"/>
    <s v="OK"/>
    <n v="0"/>
    <x v="3"/>
    <x v="2"/>
    <x v="10"/>
    <x v="10"/>
    <n v="2024"/>
    <n v="14"/>
    <x v="237"/>
  </r>
  <r>
    <n v="74"/>
    <d v="2024-02-17T00:00:00"/>
    <s v="Não"/>
    <x v="0"/>
    <x v="0"/>
    <s v="1l"/>
    <n v="12.9"/>
    <s v="OK"/>
    <n v="0"/>
    <x v="0"/>
    <x v="0"/>
    <x v="10"/>
    <x v="10"/>
    <n v="2024"/>
    <n v="14"/>
    <x v="238"/>
  </r>
  <r>
    <n v="196"/>
    <d v="2024-02-17T00:00:00"/>
    <s v="Não"/>
    <x v="36"/>
    <x v="5"/>
    <s v="170g"/>
    <n v="4.9000000000000004"/>
    <s v="OK"/>
    <n v="0"/>
    <x v="1"/>
    <x v="0"/>
    <x v="10"/>
    <x v="10"/>
    <n v="2024"/>
    <n v="27"/>
    <x v="239"/>
  </r>
  <r>
    <n v="24"/>
    <d v="2024-02-16T00:00:00"/>
    <s v="Não"/>
    <x v="13"/>
    <x v="4"/>
    <s v="pacote"/>
    <n v="19.899999999999999"/>
    <s v="OK"/>
    <n v="0"/>
    <x v="4"/>
    <x v="1"/>
    <x v="10"/>
    <x v="10"/>
    <n v="2024"/>
    <n v="2"/>
    <x v="240"/>
  </r>
  <r>
    <n v="215"/>
    <d v="2024-02-16T00:00:00"/>
    <s v="Não"/>
    <x v="22"/>
    <x v="6"/>
    <s v="500g"/>
    <n v="24.9"/>
    <s v="OK"/>
    <n v="0"/>
    <x v="1"/>
    <x v="0"/>
    <x v="10"/>
    <x v="10"/>
    <n v="2024"/>
    <n v="4"/>
    <x v="49"/>
  </r>
  <r>
    <n v="273"/>
    <d v="2024-02-13T00:00:00"/>
    <s v="Não"/>
    <x v="47"/>
    <x v="2"/>
    <s v="900ml"/>
    <n v="7.9"/>
    <s v="OK"/>
    <n v="0"/>
    <x v="3"/>
    <x v="1"/>
    <x v="10"/>
    <x v="10"/>
    <n v="2024"/>
    <n v="14"/>
    <x v="149"/>
  </r>
  <r>
    <n v="62"/>
    <d v="2024-02-11T00:00:00"/>
    <s v="Não"/>
    <x v="12"/>
    <x v="6"/>
    <s v="un"/>
    <n v="0.75"/>
    <s v="OK"/>
    <n v="1.65"/>
    <x v="5"/>
    <x v="1"/>
    <x v="10"/>
    <x v="10"/>
    <n v="2024"/>
    <n v="19"/>
    <x v="241"/>
  </r>
  <r>
    <n v="171"/>
    <d v="2024-02-11T00:00:00"/>
    <s v="Não"/>
    <x v="44"/>
    <x v="2"/>
    <s v="144g"/>
    <n v="5.9"/>
    <s v="OK"/>
    <n v="0"/>
    <x v="5"/>
    <x v="0"/>
    <x v="10"/>
    <x v="10"/>
    <n v="2024"/>
    <n v="8"/>
    <x v="242"/>
  </r>
  <r>
    <n v="115"/>
    <d v="2024-02-09T00:00:00"/>
    <s v="Não"/>
    <x v="19"/>
    <x v="4"/>
    <s v="90g"/>
    <n v="4.9000000000000004"/>
    <s v="OK"/>
    <n v="0"/>
    <x v="2"/>
    <x v="2"/>
    <x v="10"/>
    <x v="10"/>
    <n v="2024"/>
    <n v="10"/>
    <x v="243"/>
  </r>
  <r>
    <n v="51"/>
    <d v="2024-02-08T00:00:00"/>
    <s v="Não"/>
    <x v="26"/>
    <x v="6"/>
    <s v="un"/>
    <n v="4.5"/>
    <s v="OK"/>
    <n v="11.7"/>
    <x v="0"/>
    <x v="0"/>
    <x v="10"/>
    <x v="10"/>
    <n v="2024"/>
    <n v="23"/>
    <x v="244"/>
  </r>
  <r>
    <n v="65"/>
    <d v="2024-02-07T00:00:00"/>
    <s v="Não"/>
    <x v="37"/>
    <x v="2"/>
    <s v="5kg"/>
    <n v="12.9"/>
    <s v="OK"/>
    <n v="19.350000000000001"/>
    <x v="5"/>
    <x v="0"/>
    <x v="10"/>
    <x v="10"/>
    <n v="2024"/>
    <n v="13"/>
    <x v="245"/>
  </r>
  <r>
    <n v="66"/>
    <d v="2024-02-07T00:00:00"/>
    <s v="Não"/>
    <x v="4"/>
    <x v="3"/>
    <s v="kg"/>
    <n v="7.9"/>
    <s v="OK"/>
    <n v="5.53"/>
    <x v="2"/>
    <x v="0"/>
    <x v="10"/>
    <x v="10"/>
    <n v="2024"/>
    <n v="6"/>
    <x v="246"/>
  </r>
  <r>
    <n v="87"/>
    <d v="2024-02-05T00:00:00"/>
    <s v="Não"/>
    <x v="31"/>
    <x v="5"/>
    <s v="200g"/>
    <n v="9.9"/>
    <s v="OK"/>
    <n v="11.88"/>
    <x v="1"/>
    <x v="1"/>
    <x v="10"/>
    <x v="10"/>
    <n v="2024"/>
    <n v="10"/>
    <x v="247"/>
  </r>
  <r>
    <n v="35"/>
    <d v="2024-02-05T00:00:00"/>
    <s v="Não"/>
    <x v="13"/>
    <x v="4"/>
    <s v="pacote"/>
    <n v="19.899999999999999"/>
    <s v="OK"/>
    <n v="0"/>
    <x v="4"/>
    <x v="1"/>
    <x v="10"/>
    <x v="10"/>
    <n v="2024"/>
    <n v="18"/>
    <x v="128"/>
  </r>
  <r>
    <n v="94"/>
    <d v="2024-02-05T00:00:00"/>
    <s v="Não"/>
    <x v="42"/>
    <x v="0"/>
    <s v="un"/>
    <n v="3.9"/>
    <s v="OK"/>
    <n v="0"/>
    <x v="5"/>
    <x v="2"/>
    <x v="10"/>
    <x v="10"/>
    <n v="2024"/>
    <n v="30"/>
    <x v="248"/>
  </r>
  <r>
    <n v="243"/>
    <d v="2024-02-02T00:00:00"/>
    <s v="Não"/>
    <x v="0"/>
    <x v="0"/>
    <s v="1l"/>
    <n v="12.9"/>
    <s v="OK"/>
    <n v="17.41"/>
    <x v="3"/>
    <x v="2"/>
    <x v="10"/>
    <x v="10"/>
    <n v="2024"/>
    <n v="25"/>
    <x v="249"/>
  </r>
  <r>
    <n v="54"/>
    <d v="2024-01-31T00:00:00"/>
    <s v="Não"/>
    <x v="44"/>
    <x v="2"/>
    <s v="144g"/>
    <n v="5.9"/>
    <s v="OK"/>
    <n v="0"/>
    <x v="1"/>
    <x v="2"/>
    <x v="11"/>
    <x v="11"/>
    <n v="2024"/>
    <n v="13"/>
    <x v="250"/>
  </r>
  <r>
    <n v="58"/>
    <d v="2024-01-30T00:00:00"/>
    <s v="Não"/>
    <x v="46"/>
    <x v="2"/>
    <s v="500g"/>
    <n v="3.5"/>
    <s v="OK"/>
    <n v="3.33"/>
    <x v="5"/>
    <x v="1"/>
    <x v="11"/>
    <x v="11"/>
    <n v="2024"/>
    <n v="18"/>
    <x v="251"/>
  </r>
  <r>
    <n v="217"/>
    <d v="2024-01-29T00:00:00"/>
    <s v="Não"/>
    <x v="38"/>
    <x v="1"/>
    <s v="2l"/>
    <n v="8.5"/>
    <s v="OK"/>
    <n v="0"/>
    <x v="1"/>
    <x v="0"/>
    <x v="11"/>
    <x v="11"/>
    <n v="2024"/>
    <n v="12"/>
    <x v="252"/>
  </r>
  <r>
    <n v="191"/>
    <d v="2024-01-28T00:00:00"/>
    <s v="Não"/>
    <x v="27"/>
    <x v="5"/>
    <s v="1l"/>
    <n v="4.2"/>
    <s v="OK"/>
    <n v="0"/>
    <x v="5"/>
    <x v="2"/>
    <x v="11"/>
    <x v="11"/>
    <n v="2024"/>
    <n v="17"/>
    <x v="253"/>
  </r>
  <r>
    <n v="161"/>
    <d v="2024-01-28T00:00:00"/>
    <s v="Não"/>
    <x v="20"/>
    <x v="3"/>
    <s v="kg"/>
    <n v="5.9"/>
    <s v="OK"/>
    <n v="0"/>
    <x v="3"/>
    <x v="2"/>
    <x v="11"/>
    <x v="11"/>
    <n v="2024"/>
    <n v="10"/>
    <x v="254"/>
  </r>
  <r>
    <n v="130"/>
    <d v="2024-01-27T00:00:00"/>
    <s v="Não"/>
    <x v="11"/>
    <x v="1"/>
    <s v="350ml"/>
    <n v="3.9"/>
    <s v="OK"/>
    <n v="0"/>
    <x v="3"/>
    <x v="0"/>
    <x v="11"/>
    <x v="11"/>
    <n v="2024"/>
    <n v="8"/>
    <x v="255"/>
  </r>
  <r>
    <n v="92"/>
    <d v="2024-01-23T00:00:00"/>
    <s v="Não"/>
    <x v="19"/>
    <x v="4"/>
    <s v="90g"/>
    <n v="4.9000000000000004"/>
    <s v="OK"/>
    <n v="0"/>
    <x v="5"/>
    <x v="1"/>
    <x v="11"/>
    <x v="11"/>
    <n v="2024"/>
    <n v="14"/>
    <x v="256"/>
  </r>
  <r>
    <n v="79"/>
    <d v="2024-01-22T00:00:00"/>
    <s v="Não"/>
    <x v="5"/>
    <x v="1"/>
    <s v="2l"/>
    <n v="6.9"/>
    <s v="OK"/>
    <n v="0"/>
    <x v="2"/>
    <x v="0"/>
    <x v="11"/>
    <x v="11"/>
    <n v="2024"/>
    <n v="12"/>
    <x v="257"/>
  </r>
  <r>
    <n v="285"/>
    <d v="2024-01-16T00:00:00"/>
    <s v="Não"/>
    <x v="47"/>
    <x v="2"/>
    <s v="900ml"/>
    <n v="7.9"/>
    <s v="OK"/>
    <n v="18.96"/>
    <x v="4"/>
    <x v="2"/>
    <x v="11"/>
    <x v="11"/>
    <n v="2024"/>
    <n v="21"/>
    <x v="258"/>
  </r>
  <r>
    <n v="131"/>
    <d v="2024-01-16T00:00:00"/>
    <s v="Não"/>
    <x v="8"/>
    <x v="5"/>
    <s v="kg"/>
    <n v="32.9"/>
    <s v="OK"/>
    <n v="0"/>
    <x v="5"/>
    <x v="0"/>
    <x v="11"/>
    <x v="11"/>
    <n v="2024"/>
    <n v="7"/>
    <x v="207"/>
  </r>
  <r>
    <n v="258"/>
    <d v="2024-01-14T00:00:00"/>
    <s v="Não"/>
    <x v="35"/>
    <x v="2"/>
    <s v="500g"/>
    <n v="18.899999999999999"/>
    <s v="OK"/>
    <n v="0"/>
    <x v="4"/>
    <x v="1"/>
    <x v="11"/>
    <x v="11"/>
    <n v="2024"/>
    <n v="1"/>
    <x v="259"/>
  </r>
  <r>
    <n v="105"/>
    <d v="2024-01-13T00:00:00"/>
    <s v="Não"/>
    <x v="29"/>
    <x v="2"/>
    <s v="1kg"/>
    <n v="9.1999999999999993"/>
    <s v="OK"/>
    <n v="3.68"/>
    <x v="5"/>
    <x v="0"/>
    <x v="11"/>
    <x v="11"/>
    <n v="2024"/>
    <n v="7"/>
    <x v="260"/>
  </r>
  <r>
    <n v="86"/>
    <d v="2024-01-13T00:00:00"/>
    <s v="Não"/>
    <x v="42"/>
    <x v="0"/>
    <s v="un"/>
    <n v="3.9"/>
    <s v="OK"/>
    <n v="1.36"/>
    <x v="2"/>
    <x v="2"/>
    <x v="11"/>
    <x v="11"/>
    <n v="2024"/>
    <n v="6"/>
    <x v="261"/>
  </r>
  <r>
    <n v="160"/>
    <d v="2024-01-08T00:00:00"/>
    <s v="Não"/>
    <x v="19"/>
    <x v="4"/>
    <s v="90g"/>
    <n v="4.9000000000000004"/>
    <s v="OK"/>
    <n v="0"/>
    <x v="2"/>
    <x v="0"/>
    <x v="11"/>
    <x v="11"/>
    <n v="2024"/>
    <n v="18"/>
    <x v="262"/>
  </r>
  <r>
    <n v="27"/>
    <d v="2024-01-06T00:00:00"/>
    <s v="Não"/>
    <x v="15"/>
    <x v="4"/>
    <s v="325ml"/>
    <n v="14.9"/>
    <s v="OK"/>
    <n v="0"/>
    <x v="3"/>
    <x v="1"/>
    <x v="11"/>
    <x v="11"/>
    <n v="2024"/>
    <n v="24"/>
    <x v="263"/>
  </r>
  <r>
    <n v="222"/>
    <d v="2024-01-05T00:00:00"/>
    <s v="Não"/>
    <x v="41"/>
    <x v="7"/>
    <s v="kg"/>
    <n v="22.9"/>
    <s v="OK"/>
    <n v="0"/>
    <x v="3"/>
    <x v="1"/>
    <x v="11"/>
    <x v="11"/>
    <n v="2024"/>
    <n v="29"/>
    <x v="264"/>
  </r>
  <r>
    <n v="190"/>
    <d v="2024-01-01T00:00:00"/>
    <s v="Não"/>
    <x v="42"/>
    <x v="0"/>
    <s v="un"/>
    <n v="3.9"/>
    <s v="OK"/>
    <n v="10.92"/>
    <x v="1"/>
    <x v="2"/>
    <x v="11"/>
    <x v="11"/>
    <n v="2024"/>
    <n v="25"/>
    <x v="265"/>
  </r>
  <r>
    <n v="240"/>
    <d v="2024-01-01T00:00:00"/>
    <s v="Sim"/>
    <x v="15"/>
    <x v="4"/>
    <s v="325ml"/>
    <n v="14.9"/>
    <s v="OK"/>
    <n v="0"/>
    <x v="5"/>
    <x v="2"/>
    <x v="5"/>
    <x v="5"/>
    <n v="2024"/>
    <n v="24"/>
    <x v="263"/>
  </r>
  <r>
    <n v="26"/>
    <d v="2024-01-01T00:00:00"/>
    <s v="Sim"/>
    <x v="7"/>
    <x v="0"/>
    <s v="500ml"/>
    <n v="2.5"/>
    <s v="OK"/>
    <n v="3.75"/>
    <x v="2"/>
    <x v="1"/>
    <x v="5"/>
    <x v="5"/>
    <n v="2024"/>
    <n v="13"/>
    <x v="26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F4633B-8B8B-4CE8-BC9A-3245A225C9C4}" name="Tabela dinâmica26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20" rowHeaderCaption="Mês">
  <location ref="B1:F15" firstHeaderRow="1" firstDataRow="2" firstDataCol="1"/>
  <pivotFields count="17"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>
      <items count="7">
        <item x="0"/>
        <item x="4"/>
        <item x="3"/>
        <item x="1"/>
        <item x="2"/>
        <item x="5"/>
        <item t="default"/>
      </items>
    </pivotField>
    <pivotField axis="axisCol" showAll="0">
      <items count="4">
        <item x="0"/>
        <item x="2"/>
        <item x="1"/>
        <item t="default"/>
      </items>
    </pivotField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3"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/>
    <pivotField showAll="0"/>
    <pivotField dataField="1"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6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10"/>
  </colFields>
  <colItems count="4">
    <i>
      <x/>
    </i>
    <i>
      <x v="1"/>
    </i>
    <i>
      <x v="2"/>
    </i>
    <i t="grand">
      <x/>
    </i>
  </colItems>
  <dataFields count="1">
    <dataField name="Venda mensal" fld="15" baseField="16" baseItem="1"/>
  </dataFields>
  <formats count="1">
    <format dxfId="0">
      <pivotArea grandCol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AFAC72-8436-419D-BE93-6D512B7ADB66}" name="Tabela dinâmica23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20" rowHeaderCaption="Lojas">
  <location ref="A1:B8" firstHeaderRow="1" firstDataRow="1" firstDataCol="1"/>
  <pivotFields count="17">
    <pivotField showAll="0"/>
    <pivotField numFmtId="14"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7">
        <item x="0"/>
        <item x="4"/>
        <item x="3"/>
        <item x="1"/>
        <item x="2"/>
        <item x="5"/>
        <item t="default"/>
      </items>
    </pivotField>
    <pivotField showAll="0">
      <items count="4">
        <item x="0"/>
        <item x="2"/>
        <item x="1"/>
        <item t="default"/>
      </items>
    </pivotField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9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Descontos (R$)" fld="8" baseField="9" baseItem="0"/>
  </dataFields>
  <formats count="2">
    <format dxfId="6">
      <pivotArea outline="0" collapsedLevelsAreSubtotals="1" fieldPosition="0"/>
    </format>
    <format dxfId="5">
      <pivotArea grandRow="1" outline="0" collapsedLevelsAreSubtotals="1" fieldPosition="0"/>
    </format>
  </formats>
  <chartFormats count="4">
    <chartFormat chart="19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9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19" format="10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19" format="11">
      <pivotArea type="data" outline="0" fieldPosition="0">
        <references count="2">
          <reference field="4294967294" count="1" selected="0">
            <x v="0"/>
          </reference>
          <reference field="9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F3533F-4332-4B8E-A511-57DF45E6F7C9}" name="Tabela dinâmica22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28" rowHeaderCaption="Top 20 mais vendidos">
  <location ref="B2:D23" firstHeaderRow="0" firstDataRow="1" firstDataCol="1"/>
  <pivotFields count="17">
    <pivotField showAll="0"/>
    <pivotField numFmtId="14" showAll="0"/>
    <pivotField showAll="0"/>
    <pivotField axis="axisRow" showAll="0" measureFilter="1" sortType="ascending">
      <items count="50">
        <item x="17"/>
        <item x="3"/>
        <item x="48"/>
        <item x="30"/>
        <item x="0"/>
        <item x="37"/>
        <item x="40"/>
        <item x="34"/>
        <item x="39"/>
        <item x="44"/>
        <item x="22"/>
        <item x="35"/>
        <item x="32"/>
        <item x="11"/>
        <item x="23"/>
        <item x="16"/>
        <item x="6"/>
        <item x="26"/>
        <item x="25"/>
        <item x="7"/>
        <item x="1"/>
        <item x="42"/>
        <item x="21"/>
        <item x="29"/>
        <item x="9"/>
        <item x="41"/>
        <item x="36"/>
        <item x="28"/>
        <item x="27"/>
        <item x="45"/>
        <item x="4"/>
        <item x="46"/>
        <item x="24"/>
        <item x="2"/>
        <item x="47"/>
        <item x="10"/>
        <item x="12"/>
        <item x="13"/>
        <item x="33"/>
        <item x="8"/>
        <item x="38"/>
        <item x="5"/>
        <item x="31"/>
        <item x="43"/>
        <item x="19"/>
        <item x="14"/>
        <item x="15"/>
        <item x="18"/>
        <item x="2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dataField="1"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"/>
  </rowFields>
  <rowItems count="21">
    <i>
      <x v="47"/>
    </i>
    <i>
      <x v="42"/>
    </i>
    <i>
      <x v="48"/>
    </i>
    <i>
      <x v="14"/>
    </i>
    <i>
      <x v="5"/>
    </i>
    <i>
      <x v="20"/>
    </i>
    <i>
      <x v="30"/>
    </i>
    <i>
      <x v="4"/>
    </i>
    <i>
      <x v="15"/>
    </i>
    <i>
      <x v="12"/>
    </i>
    <i>
      <x v="32"/>
    </i>
    <i>
      <x v="29"/>
    </i>
    <i>
      <x v="46"/>
    </i>
    <i>
      <x v="37"/>
    </i>
    <i>
      <x v="10"/>
    </i>
    <i>
      <x v="25"/>
    </i>
    <i>
      <x v="11"/>
    </i>
    <i>
      <x v="39"/>
    </i>
    <i>
      <x v="38"/>
    </i>
    <i>
      <x v="24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Total" fld="15" baseField="0" baseItem="0" numFmtId="165"/>
    <dataField name="Soma de Quantidade" fld="14" baseField="0" baseItem="0" numFmtId="167"/>
  </dataFields>
  <formats count="4">
    <format dxfId="7">
      <pivotArea outline="0" collapsedLevelsAreSubtotals="1" fieldPosition="0"/>
    </format>
    <format dxfId="8">
      <pivotArea dataOnly="0" labelOnly="1" outline="0" axis="axisValues" fieldPosition="0"/>
    </format>
    <format dxfId="9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0">
      <pivotArea dataOnly="0" labelOnly="1" outline="0" fieldPosition="0">
        <references count="1">
          <reference field="4294967294" count="1">
            <x v="1"/>
          </reference>
        </references>
      </pivotArea>
    </format>
  </formats>
  <chartFormats count="2">
    <chartFormat chart="2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3" type="count" evalOrder="-1" id="1" iMeasureFld="0">
      <autoFilter ref="A1">
        <filterColumn colId="0">
          <top10 val="20" filterVal="2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01F7F0-DB9C-4670-957C-DCCA92D80F42}" name="Tabela dinâmica18" cacheId="0" applyNumberFormats="0" applyBorderFormats="0" applyFontFormats="0" applyPatternFormats="0" applyAlignmentFormats="0" applyWidthHeightFormats="1" dataCaption="Valores" updatedVersion="7" minRefreshableVersion="5" useAutoFormatting="1" itemPrintTitles="1" createdVersion="7" indent="0" outline="1" outlineData="1" multipleFieldFilters="0" chartFormat="13" rowHeaderCaption="Categoria">
  <location ref="A2:D11" firstHeaderRow="0" firstDataRow="1" firstDataCol="1"/>
  <pivotFields count="17">
    <pivotField showAll="0"/>
    <pivotField numFmtId="14" showAll="0"/>
    <pivotField showAll="0"/>
    <pivotField showAll="0"/>
    <pivotField axis="axisRow" dataField="1" showAll="0">
      <items count="9">
        <item x="7"/>
        <item x="1"/>
        <item x="3"/>
        <item x="4"/>
        <item x="5"/>
        <item x="0"/>
        <item x="2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Qnt venda categoria" fld="4" subtotal="count" baseField="4" baseItem="0"/>
    <dataField name="% vendas categoria" fld="4" subtotal="count" showDataAs="percentOfCol" baseField="0" baseItem="0" numFmtId="10"/>
    <dataField name="% acumulado categoria" fld="4" subtotal="count" baseField="4" baseItem="0" numFmtId="10">
      <extLst>
        <ext xmlns:x14="http://schemas.microsoft.com/office/spreadsheetml/2009/9/main" uri="{E15A36E0-9728-4e99-A89B-3F7291B0FE68}">
          <x14:dataField pivotShowAs="percentOfRunningTotal"/>
        </ext>
      </extLst>
    </dataField>
  </dataFields>
  <chartFormats count="8"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12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9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12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" format="11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1" type="dateBetween" evalOrder="-1" id="26" name="Mês/Ano">
      <autoFilter ref="A1">
        <filterColumn colId="0">
          <customFilters and="1">
            <customFilter operator="greaterThanOrEqual" val="45292"/>
            <customFilter operator="lessThanOrEqual" val="45657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F060F7-8C2E-4777-9496-B61A31E3799C}" name="Tabela dinâmica19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43" rowHeaderCaption="Vendedores">
  <location ref="A2:E9" firstHeaderRow="0" firstDataRow="1" firstDataCol="1"/>
  <pivotFields count="17"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7">
        <item x="0"/>
        <item x="4"/>
        <item x="3"/>
        <item x="1"/>
        <item x="2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4" showAll="0">
      <items count="369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2"/>
        <item h="1" x="143"/>
        <item h="1" x="144"/>
        <item h="1" x="145"/>
        <item h="1" x="146"/>
        <item h="1" x="147"/>
        <item h="1" x="148"/>
        <item h="1" x="149"/>
        <item h="1" x="150"/>
        <item h="1" x="151"/>
        <item h="1" x="152"/>
        <item h="1" x="153"/>
        <item h="1" x="154"/>
        <item h="1" x="155"/>
        <item h="1" x="156"/>
        <item h="1" x="157"/>
        <item h="1" x="158"/>
        <item h="1" x="159"/>
        <item h="1" x="160"/>
        <item h="1" x="161"/>
        <item h="1" x="162"/>
        <item h="1" x="163"/>
        <item h="1" x="164"/>
        <item h="1" x="165"/>
        <item h="1" x="166"/>
        <item h="1" x="167"/>
        <item h="1" x="168"/>
        <item h="1" x="169"/>
        <item h="1" x="170"/>
        <item h="1" x="171"/>
        <item h="1" x="172"/>
        <item h="1" x="173"/>
        <item h="1" x="174"/>
        <item h="1" x="175"/>
        <item h="1" x="176"/>
        <item h="1" x="177"/>
        <item h="1" x="178"/>
        <item h="1" x="179"/>
        <item h="1" x="180"/>
        <item h="1" x="181"/>
        <item h="1" x="182"/>
        <item h="1" x="183"/>
        <item h="1" x="184"/>
        <item h="1" x="185"/>
        <item h="1" x="186"/>
        <item h="1" x="187"/>
        <item h="1" x="188"/>
        <item h="1" x="189"/>
        <item h="1" x="190"/>
        <item h="1" x="191"/>
        <item h="1" x="192"/>
        <item h="1" x="193"/>
        <item h="1" x="194"/>
        <item h="1" x="195"/>
        <item h="1" x="196"/>
        <item h="1" x="197"/>
        <item h="1" x="198"/>
        <item h="1" x="199"/>
        <item h="1" x="200"/>
        <item h="1" x="201"/>
        <item h="1" x="202"/>
        <item h="1" x="203"/>
        <item h="1" x="204"/>
        <item h="1" x="205"/>
        <item h="1" x="206"/>
        <item h="1" x="207"/>
        <item h="1" x="208"/>
        <item h="1" x="209"/>
        <item h="1" x="210"/>
        <item h="1" x="211"/>
        <item h="1" x="212"/>
        <item h="1" x="213"/>
        <item h="1" x="214"/>
        <item h="1" x="215"/>
        <item h="1" x="216"/>
        <item h="1" x="217"/>
        <item h="1" x="218"/>
        <item h="1" x="219"/>
        <item h="1" x="220"/>
        <item h="1" x="221"/>
        <item h="1" x="222"/>
        <item h="1" x="223"/>
        <item h="1" x="224"/>
        <item h="1" x="225"/>
        <item h="1" x="226"/>
        <item h="1" x="227"/>
        <item h="1" x="228"/>
        <item h="1" x="229"/>
        <item h="1" x="230"/>
        <item h="1" x="231"/>
        <item h="1" x="232"/>
        <item h="1" x="233"/>
        <item h="1" x="234"/>
        <item h="1" x="235"/>
        <item h="1" x="236"/>
        <item h="1" x="237"/>
        <item h="1" x="238"/>
        <item h="1" x="239"/>
        <item h="1" x="240"/>
        <item h="1" x="241"/>
        <item h="1" x="242"/>
        <item h="1" x="243"/>
        <item h="1" x="244"/>
        <item h="1" x="245"/>
        <item h="1" x="246"/>
        <item h="1" x="247"/>
        <item h="1" x="248"/>
        <item h="1" x="249"/>
        <item h="1" x="250"/>
        <item h="1" x="251"/>
        <item h="1" x="252"/>
        <item h="1" x="253"/>
        <item h="1" x="254"/>
        <item h="1" x="255"/>
        <item h="1" x="256"/>
        <item h="1" x="257"/>
        <item h="1" x="258"/>
        <item h="1" x="259"/>
        <item h="1" x="260"/>
        <item h="1" x="261"/>
        <item h="1" x="262"/>
        <item h="1" x="263"/>
        <item h="1" x="264"/>
        <item h="1" x="265"/>
        <item h="1" x="266"/>
        <item h="1" x="267"/>
        <item h="1" x="268"/>
        <item h="1" x="269"/>
        <item h="1" x="270"/>
        <item h="1" x="271"/>
        <item h="1" x="272"/>
        <item h="1" x="273"/>
        <item h="1" x="274"/>
        <item h="1" x="275"/>
        <item h="1" x="276"/>
        <item h="1" x="277"/>
        <item h="1" x="278"/>
        <item h="1" x="279"/>
        <item h="1" x="280"/>
        <item h="1" x="281"/>
        <item h="1" x="282"/>
        <item h="1" x="283"/>
        <item h="1" x="284"/>
        <item h="1" x="285"/>
        <item h="1" x="286"/>
        <item h="1" x="287"/>
        <item h="1" x="288"/>
        <item h="1" x="289"/>
        <item h="1" x="290"/>
        <item h="1" x="291"/>
        <item h="1" x="292"/>
        <item h="1" x="293"/>
        <item h="1" x="294"/>
        <item h="1" x="295"/>
        <item h="1" x="296"/>
        <item h="1" x="297"/>
        <item h="1" x="298"/>
        <item h="1" x="299"/>
        <item h="1" x="300"/>
        <item h="1" x="301"/>
        <item h="1" x="302"/>
        <item h="1" x="303"/>
        <item h="1" x="304"/>
        <item h="1" x="305"/>
        <item h="1" x="306"/>
        <item h="1" x="307"/>
        <item h="1" x="308"/>
        <item h="1" x="309"/>
        <item h="1" x="310"/>
        <item h="1" x="311"/>
        <item h="1" x="312"/>
        <item h="1" x="313"/>
        <item h="1" x="314"/>
        <item h="1" x="315"/>
        <item h="1" x="316"/>
        <item h="1" x="317"/>
        <item h="1" x="318"/>
        <item h="1" x="319"/>
        <item h="1" x="320"/>
        <item h="1" x="321"/>
        <item h="1" x="322"/>
        <item h="1" x="323"/>
        <item h="1" x="324"/>
        <item h="1" x="325"/>
        <item h="1" x="326"/>
        <item h="1" x="327"/>
        <item h="1" x="328"/>
        <item h="1" x="329"/>
        <item h="1" x="330"/>
        <item h="1" x="331"/>
        <item h="1" x="332"/>
        <item h="1" x="333"/>
        <item h="1" x="334"/>
        <item h="1" x="335"/>
        <item h="1" x="336"/>
        <item h="1" x="337"/>
        <item h="1" x="338"/>
        <item h="1" x="339"/>
        <item h="1" x="340"/>
        <item h="1" x="341"/>
        <item h="1" x="342"/>
        <item h="1" x="343"/>
        <item h="1" x="344"/>
        <item h="1" x="345"/>
        <item h="1" x="346"/>
        <item h="1" x="347"/>
        <item h="1" x="348"/>
        <item h="1" x="349"/>
        <item h="1" x="350"/>
        <item h="1" x="351"/>
        <item h="1" x="352"/>
        <item h="1" x="353"/>
        <item h="1" x="354"/>
        <item h="1" x="355"/>
        <item h="1" x="356"/>
        <item h="1" x="357"/>
        <item h="1" x="358"/>
        <item h="1" x="359"/>
        <item h="1" x="360"/>
        <item h="1" x="361"/>
        <item h="1" x="362"/>
        <item h="1" x="363"/>
        <item h="1" x="364"/>
        <item h="1" x="365"/>
        <item h="1" x="366"/>
        <item h="1" x="367"/>
        <item t="default"/>
      </items>
    </pivotField>
    <pivotField showAll="0"/>
    <pivotField showAll="0"/>
    <pivotField dataField="1" showAll="0"/>
    <pivotField dataField="1" showAll="0"/>
    <pivotField showAll="0">
      <items count="15">
        <item h="1" sd="0" x="0"/>
        <item h="1" sd="0" x="1"/>
        <item h="1" sd="0" x="2"/>
        <item h="1" sd="0" x="3"/>
        <item sd="0" x="4"/>
        <item h="1" sd="0" x="5"/>
        <item h="1" sd="0" x="6"/>
        <item h="1" sd="0" x="7"/>
        <item h="1" sd="0" x="8"/>
        <item h="1" sd="0" x="9"/>
        <item h="1" sd="0" x="10"/>
        <item h="1" sd="0" x="11"/>
        <item h="1" sd="0" x="12"/>
        <item h="1" sd="0" x="13"/>
        <item t="default"/>
      </items>
    </pivotField>
  </pivotFields>
  <rowFields count="1">
    <field x="9"/>
  </rowFields>
  <rowItems count="7">
    <i>
      <x v="4"/>
    </i>
    <i>
      <x v="5"/>
    </i>
    <i>
      <x v="1"/>
    </i>
    <i>
      <x v="2"/>
    </i>
    <i>
      <x/>
    </i>
    <i>
      <x v="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Venda por vendedor" fld="15" baseField="9" baseItem="2" numFmtId="165"/>
    <dataField name="Quantidade de vendas" fld="14" subtotal="count" baseField="9" baseItem="2" numFmtId="166"/>
    <dataField name="% venda por vendedor" fld="15" showDataAs="percentOfCol" baseField="0" baseItem="0" numFmtId="10"/>
    <dataField name="% acumulada" fld="15" baseField="9" baseItem="0" numFmtId="10">
      <extLst>
        <ext xmlns:x14="http://schemas.microsoft.com/office/spreadsheetml/2009/9/main" uri="{E15A36E0-9728-4e99-A89B-3F7291B0FE68}">
          <x14:dataField pivotShowAs="percentOfRunningTotal"/>
        </ext>
      </extLst>
    </dataField>
  </dataFields>
  <chartFormats count="5">
    <chartFormat chart="42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2" format="1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42" format="1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2" format="13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2" format="14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3F0C7C-8C89-4EB5-BAB1-45AA8E7ED5B9}" name="Tabela dinâmica21" cacheId="0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15" rowHeaderCaption="Lojas">
  <location ref="A1:C5" firstHeaderRow="0" firstDataRow="1" firstDataCol="1"/>
  <pivotFields count="17"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0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Venda por loja" fld="15" baseField="10" baseItem="0" numFmtId="165"/>
    <dataField name="% vendas por loja" fld="15" showDataAs="percentOfCol" baseField="0" baseItem="0" numFmtId="10"/>
  </dataFields>
  <formats count="2">
    <format dxfId="11">
      <pivotArea outline="0" collapsedLevelsAreSubtotals="1" fieldPosition="0"/>
    </format>
    <format dxfId="12">
      <pivotArea outline="0" fieldPosition="0">
        <references count="1">
          <reference field="4294967294" count="1">
            <x v="1"/>
          </reference>
        </references>
      </pivotArea>
    </format>
  </formats>
  <chartFormats count="8">
    <chartFormat chart="14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7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14" format="18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14" format="19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14" format="2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10" count="1" selected="0">
            <x v="0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10" count="1" selected="0">
            <x v="1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1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B3121B-E6AC-4AEA-838A-4718DA6E431E}" name="Tabela dinâmica20" cacheId="0" applyNumberFormats="0" applyBorderFormats="0" applyFontFormats="0" applyPatternFormats="0" applyAlignmentFormats="0" applyWidthHeightFormats="1" dataCaption="Valores" updatedVersion="7" minRefreshableVersion="5" useAutoFormatting="1" itemPrintTitles="1" createdVersion="7" indent="0" outline="1" outlineData="1" multipleFieldFilters="0" chartFormat="48" rowHeaderCaption="Mês" colHeaderCaption="Vendedor">
  <location ref="A1:C15" firstHeaderRow="1" firstDataRow="2" firstDataCol="1"/>
  <pivotFields count="17"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axis="axisCol" showAll="0" sortType="descending">
      <items count="7">
        <item h="1" x="0"/>
        <item x="4"/>
        <item h="1" x="3"/>
        <item h="1" x="1"/>
        <item h="1" x="2"/>
        <item h="1"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showAll="0"/>
    <pivotField dataField="1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6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9"/>
  </colFields>
  <colItems count="2">
    <i>
      <x v="1"/>
    </i>
    <i t="grand">
      <x/>
    </i>
  </colItems>
  <dataFields count="1">
    <dataField name="Venda por vendedor" fld="15" baseField="9" baseItem="2"/>
  </dataFields>
  <formats count="18">
    <format dxfId="15">
      <pivotArea outline="0" collapsedLevelsAreSubtotals="1" fieldPosition="0"/>
    </format>
    <format dxfId="16">
      <pivotArea collapsedLevelsAreSubtotals="1" fieldPosition="0">
        <references count="1">
          <reference field="9" count="1">
            <x v="2"/>
          </reference>
        </references>
      </pivotArea>
    </format>
    <format dxfId="17">
      <pivotArea dataOnly="0" labelOnly="1" fieldPosition="0">
        <references count="1">
          <reference field="9" count="1">
            <x v="2"/>
          </reference>
        </references>
      </pivotArea>
    </format>
    <format dxfId="18">
      <pivotArea collapsedLevelsAreSubtotals="1" fieldPosition="0">
        <references count="1">
          <reference field="9" count="2">
            <x v="2"/>
            <x v="4"/>
          </reference>
        </references>
      </pivotArea>
    </format>
    <format dxfId="19">
      <pivotArea field="9" type="button" dataOnly="0" labelOnly="1" outline="0" axis="axisCol" fieldPosition="0"/>
    </format>
    <format dxfId="20">
      <pivotArea dataOnly="0" labelOnly="1" fieldPosition="0">
        <references count="2">
          <reference field="4294967294" count="1" selected="0">
            <x v="0"/>
          </reference>
          <reference field="16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21">
      <pivotArea field="9" type="button" dataOnly="0" labelOnly="1" outline="0" axis="axisCol" fieldPosition="0"/>
    </format>
    <format dxfId="22">
      <pivotArea dataOnly="0" labelOnly="1" fieldPosition="0">
        <references count="2">
          <reference field="4294967294" count="1" selected="0">
            <x v="0"/>
          </reference>
          <reference field="16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23">
      <pivotArea collapsedLevelsAreSubtotals="1" fieldPosition="0">
        <references count="2">
          <reference field="9" count="1">
            <x v="2"/>
          </reference>
          <reference field="16" count="1" selected="0">
            <x v="5"/>
          </reference>
        </references>
      </pivotArea>
    </format>
    <format dxfId="24">
      <pivotArea collapsedLevelsAreSubtotals="1" fieldPosition="0">
        <references count="2">
          <reference field="9" count="1">
            <x v="2"/>
          </reference>
          <reference field="16" count="1" selected="0">
            <x v="9"/>
          </reference>
        </references>
      </pivotArea>
    </format>
    <format dxfId="25">
      <pivotArea collapsedLevelsAreSubtotals="1" fieldPosition="0">
        <references count="2">
          <reference field="9" count="1">
            <x v="0"/>
          </reference>
          <reference field="16" count="1" selected="0">
            <x v="10"/>
          </reference>
        </references>
      </pivotArea>
    </format>
    <format dxfId="26">
      <pivotArea dataOnly="0" labelOnly="1" fieldPosition="0">
        <references count="1">
          <reference field="9" count="2">
            <x v="2"/>
            <x v="4"/>
          </reference>
        </references>
      </pivotArea>
    </format>
    <format dxfId="27">
      <pivotArea collapsedLevelsAreSubtotals="1" fieldPosition="0">
        <references count="2">
          <reference field="9" count="1" selected="0">
            <x v="2"/>
          </reference>
          <reference field="16" count="1">
            <x v="5"/>
          </reference>
        </references>
      </pivotArea>
    </format>
    <format dxfId="28">
      <pivotArea collapsedLevelsAreSubtotals="1" fieldPosition="0">
        <references count="2">
          <reference field="9" count="1" selected="0">
            <x v="0"/>
          </reference>
          <reference field="16" count="1">
            <x v="10"/>
          </reference>
        </references>
      </pivotArea>
    </format>
    <format dxfId="29">
      <pivotArea collapsedLevelsAreSubtotals="1" fieldPosition="0">
        <references count="2">
          <reference field="9" count="1" selected="0">
            <x v="2"/>
          </reference>
          <reference field="16" count="1">
            <x v="9"/>
          </reference>
        </references>
      </pivotArea>
    </format>
    <format dxfId="30">
      <pivotArea field="9" grandRow="1" outline="0" collapsedLevelsAreSubtotals="1" axis="axisCol" fieldPosition="0">
        <references count="1">
          <reference field="9" count="1" selected="0">
            <x v="2"/>
          </reference>
        </references>
      </pivotArea>
    </format>
    <format dxfId="14">
      <pivotArea type="origin" dataOnly="0" labelOnly="1" outline="0" fieldPosition="0"/>
    </format>
    <format dxfId="13">
      <pivotArea type="origin" dataOnly="0" labelOnly="1" outline="0" fieldPosition="0"/>
    </format>
  </formats>
  <chartFormats count="6">
    <chartFormat chart="47" format="25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47" format="26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47" format="27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47" format="28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47" format="29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5"/>
          </reference>
        </references>
      </pivotArea>
    </chartFormat>
    <chartFormat chart="47" format="3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1" type="dateBetween" evalOrder="-1" id="24" name="Mês/Ano">
      <autoFilter ref="A1">
        <filterColumn colId="0">
          <customFilters and="1">
            <customFilter operator="greaterThanOrEqual" val="45292"/>
            <customFilter operator="lessThanOrEqual" val="45657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0590613F-7F4A-4ED5-B431-7F572A9EBD68}" autoFormatId="16" applyNumberFormats="0" applyBorderFormats="0" applyFontFormats="0" applyPatternFormats="0" applyAlignmentFormats="0" applyWidthHeightFormats="0">
  <queryTableRefresh nextId="32">
    <queryTableFields count="16">
      <queryTableField id="1" name="ID" tableColumnId="1"/>
      <queryTableField id="2" name="Data" tableColumnId="2"/>
      <queryTableField id="16" name="Faltou data?" tableColumnId="16"/>
      <queryTableField id="4" name="Produto" tableColumnId="4"/>
      <queryTableField id="5" name="Categoria" tableColumnId="5"/>
      <queryTableField id="6" name="Gramagem" tableColumnId="6"/>
      <queryTableField id="7" name="Preço_Unit (R$)" tableColumnId="7"/>
      <queryTableField id="20" name="Preço_Unit (Observação)" tableColumnId="3"/>
      <queryTableField id="8" name="Desconto (R$)" tableColumnId="8"/>
      <queryTableField id="9" name="Vendedor" tableColumnId="9"/>
      <queryTableField id="10" name="Loja" tableColumnId="10"/>
      <queryTableField id="11" name="Mês/Ano" tableColumnId="11"/>
      <queryTableField id="12" name="Mês_Num" tableColumnId="12"/>
      <queryTableField id="13" name="Ano" tableColumnId="13"/>
      <queryTableField id="14" name="Quantidade" tableColumnId="14"/>
      <queryTableField id="15" name="Total" tableColumnId="15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Meses" xr10:uid="{FC7C53AF-C46F-4284-BB38-97FFA27C6839}" sourceName="Meses">
  <pivotTables>
    <pivotTable tabId="14" name="Tabela dinâmica19"/>
    <pivotTable tabId="15" name="Tabela dinâmica20"/>
  </pivotTables>
  <data>
    <tabular pivotCacheId="140484358">
      <items count="14">
        <i x="1" s="1"/>
        <i x="2" s="1"/>
        <i x="3" s="1"/>
        <i x="4" s="1"/>
        <i x="5" s="1"/>
        <i x="6" s="1"/>
        <i x="7" s="1"/>
        <i x="8" s="1"/>
        <i x="9" s="1"/>
        <i x="10" s="1"/>
        <i x="11" s="1"/>
        <i x="12" s="1"/>
        <i x="0" s="1" nd="1"/>
        <i x="13" s="1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eses" xr10:uid="{235BF53C-D5DC-4F6D-A70A-3705B625E85D}" cache="SegmentaçãodeDados_Meses" caption="Meses" rowHeight="241300"/>
</slicer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429E9E2-725E-449D-9128-4F233BD4BF08}" name="Tabela1" displayName="Tabela1" ref="A1:N301" totalsRowShown="0" headerRowDxfId="56" headerRowBorderDxfId="55" tableBorderDxfId="54" totalsRowBorderDxfId="53">
  <autoFilter ref="A1:N301" xr:uid="{2429E9E2-725E-449D-9128-4F233BD4BF08}"/>
  <tableColumns count="14">
    <tableColumn id="1" xr3:uid="{D4101259-5D97-4A0D-B9A6-610E89B88EB8}" name="ID" dataDxfId="52"/>
    <tableColumn id="2" xr3:uid="{E5282548-0D13-4A0E-9C9F-455EDAE12DE9}" name="Data" dataDxfId="51"/>
    <tableColumn id="3" xr3:uid="{203B4BCA-1DBE-4662-8DE9-AA4420E21D9F}" name="Produto" dataDxfId="50"/>
    <tableColumn id="4" xr3:uid="{9B1206EA-BD34-4301-85F4-66CF810E0F0D}" name="Categoria" dataDxfId="49"/>
    <tableColumn id="5" xr3:uid="{82A30AD4-4B12-4E4E-AB57-0D25053BD290}" name="Gramagem" dataDxfId="48"/>
    <tableColumn id="6" xr3:uid="{A40DDC55-3877-4608-B5E8-0049F78A1E65}" name="Quantidade" dataDxfId="47"/>
    <tableColumn id="7" xr3:uid="{5B15DA2B-23AE-42BC-83D1-90D4650478E5}" name="Preço_Unit (R$)" dataDxfId="46"/>
    <tableColumn id="8" xr3:uid="{75C8BDD8-2E6A-4FA4-976F-1C6726EDD448}" name="Desconto (R$)" dataDxfId="45"/>
    <tableColumn id="9" xr3:uid="{1F930CF0-B73B-4BB0-92CB-E942BC9813DA}" name="Total (R$)" dataDxfId="44"/>
    <tableColumn id="10" xr3:uid="{634C8629-C827-468A-AB34-F3FF5AC0B1D0}" name="Vendedor" dataDxfId="43"/>
    <tableColumn id="11" xr3:uid="{BC060784-BFFE-412B-9CB7-A809000ACC06}" name="Loja" dataDxfId="42"/>
    <tableColumn id="12" xr3:uid="{31E3A944-8456-46CE-A28C-E0C5882D89BE}" name="Mês/Ano" dataDxfId="41"/>
    <tableColumn id="13" xr3:uid="{3A0E2074-38CE-4818-B397-6FF7B5682563}" name="Mês_Num" dataDxfId="40"/>
    <tableColumn id="14" xr3:uid="{E32E43AB-903C-4AEA-83EF-9CFD11F7D298}" name="Ano" dataDxfId="39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B7CF14E-2F9F-405E-8088-20F60EE5381A}" name="Tabela1_2" displayName="Tabela1_2" ref="A1:P301" tableType="queryTable" totalsRowShown="0">
  <autoFilter ref="A1:P301" xr:uid="{0B7CF14E-2F9F-405E-8088-20F60EE5381A}"/>
  <tableColumns count="16">
    <tableColumn id="1" xr3:uid="{7F794ECD-1A15-429E-B876-1A089751334E}" uniqueName="1" name="ID" queryTableFieldId="1"/>
    <tableColumn id="2" xr3:uid="{2DD59B07-B45C-404F-9AAE-FA25A8C13845}" uniqueName="2" name="Data" queryTableFieldId="2" dataDxfId="38"/>
    <tableColumn id="16" xr3:uid="{4B7C2EB1-3D8A-4F11-A6B6-369B9DE29833}" uniqueName="16" name="Faltou data?" queryTableFieldId="16" dataDxfId="37"/>
    <tableColumn id="4" xr3:uid="{712EDF60-C559-4E76-A470-6AA026CEF41B}" uniqueName="4" name="Produto" queryTableFieldId="4" dataDxfId="36"/>
    <tableColumn id="5" xr3:uid="{E3100802-5DA5-4CD7-A20E-F44DBF3F39C8}" uniqueName="5" name="Categoria" queryTableFieldId="5" dataDxfId="35"/>
    <tableColumn id="6" xr3:uid="{070505D7-4C9E-46EA-A616-6D7233B7A84C}" uniqueName="6" name="Gramagem" queryTableFieldId="6" dataDxfId="34"/>
    <tableColumn id="7" xr3:uid="{4A4FA332-3A34-48C4-B4E1-50C2B5066C5B}" uniqueName="7" name="Preço_Unit (R$)" queryTableFieldId="7"/>
    <tableColumn id="3" xr3:uid="{FDD7AC9F-3C67-4D92-B564-EE350F055DB3}" uniqueName="3" name="Preço_Unit (Observação)" queryTableFieldId="20"/>
    <tableColumn id="8" xr3:uid="{B73FF0CD-8B6C-4123-B15B-E9BD116219CF}" uniqueName="8" name="Desconto (R$)" queryTableFieldId="8"/>
    <tableColumn id="9" xr3:uid="{20499DBC-2D32-4DD2-94AF-1A134E4E2682}" uniqueName="9" name="Vendedor" queryTableFieldId="9" dataDxfId="33"/>
    <tableColumn id="10" xr3:uid="{611625B4-804E-470C-92A6-18DB7E1D6DD1}" uniqueName="10" name="Loja" queryTableFieldId="10" dataDxfId="32"/>
    <tableColumn id="11" xr3:uid="{ECD9ECB5-2FF8-498B-97DE-5C2D2A2B9240}" uniqueName="11" name="Mês/Ano" queryTableFieldId="11" dataDxfId="31"/>
    <tableColumn id="12" xr3:uid="{E2737717-5256-4EAD-B7F8-60DA3AFBBEE4}" uniqueName="12" name="Mês_Num" queryTableFieldId="12"/>
    <tableColumn id="13" xr3:uid="{00A60DE0-C786-4FB9-B7A2-3CB1307DE1A7}" uniqueName="13" name="Ano" queryTableFieldId="13"/>
    <tableColumn id="14" xr3:uid="{131DAB9B-73ED-4CB4-9558-8F881B539C98}" uniqueName="14" name="Quantidade" queryTableFieldId="14"/>
    <tableColumn id="15" xr3:uid="{0AAD1564-C0B2-437C-B8FF-8BAC235030CB}" uniqueName="15" name="Total" queryTableFieldId="15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Mês_Ano1" xr10:uid="{81BC5D61-2A07-4F98-92F8-5661CCC69136}" sourceName="Mês/Ano">
  <pivotTables>
    <pivotTable tabId="13" name="Tabela dinâmica18"/>
  </pivotTables>
  <state minimalRefreshVersion="6" lastRefreshVersion="6" pivotCacheId="140484358" filterType="dateBetween">
    <selection startDate="2024-01-01T00:00:00" endDate="2024-12-31T00:00:00"/>
    <bounds startDate="2024-01-01T00:00:00" endDate="2025-01-01T00:00:00"/>
  </state>
</timelineCacheDefinition>
</file>

<file path=xl/timelineCaches/timelineCache2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Mês_Ano" xr10:uid="{95657207-A4E7-4CCB-84BC-AB2772D0E8A4}" sourceName="Mês/Ano">
  <pivotTables>
    <pivotTable tabId="15" name="Tabela dinâmica20"/>
  </pivotTables>
  <state minimalRefreshVersion="6" lastRefreshVersion="6" pivotCacheId="140484358" filterType="dateBetween">
    <selection startDate="2024-01-01T00:00:00" endDate="2024-12-31T00:00:00"/>
    <bounds startDate="2024-01-01T00:00:00" endDate="2025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Mês/Ano 1" xr10:uid="{5CE41CCC-4B9D-4380-BA11-93D67E5A4F32}" cache="NativeTimeline_Mês_Ano1" caption="Mês/Ano" level="1" selectionLevel="0" scrollPosition="2024-01-01T00:00:00"/>
</timelines>
</file>

<file path=xl/timelines/timeline2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Mês/Ano" xr10:uid="{8149F28C-19EC-410B-926F-BB5D8D889C3E}" cache="NativeTimeline_Mês_Ano" caption="Mês/Ano" level="1" selectionLevel="0" scrollPosition="2024-01-01T00:00:00"/>
</timeline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47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9BD59D8-7FF6-461A-AFE2-541BE8AF0859}">
  <we:reference id="wa200009404" version="1.0.0.8" store="en-US" storeType="OMEX"/>
  <we:alternateReferences>
    <we:reference id="wa200009404" version="1.0.0.8" store="wa200009404" storeType="OMEX"/>
  </we:alternateReferences>
  <we:properties>
    <we:property name="claude.fileId" value="&quot;b19785bc-18b8-468a-8f35-fc7c51af5c24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1/relationships/timeline" Target="../timelines/timeline1.xml"/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1/relationships/timeline" Target="../timelines/timeline2.xml"/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39E77-D71A-4BF6-BC66-5530FEAD926B}">
  <dimension ref="A1:H22"/>
  <sheetViews>
    <sheetView workbookViewId="0">
      <selection activeCell="I7" sqref="I7"/>
    </sheetView>
  </sheetViews>
  <sheetFormatPr defaultRowHeight="15" x14ac:dyDescent="0.25"/>
  <cols>
    <col min="2" max="3" width="19.5703125" bestFit="1" customWidth="1"/>
    <col min="4" max="5" width="13.28515625" bestFit="1" customWidth="1"/>
    <col min="6" max="7" width="14.28515625" bestFit="1" customWidth="1"/>
    <col min="8" max="8" width="15.42578125" bestFit="1" customWidth="1"/>
  </cols>
  <sheetData>
    <row r="1" spans="1:8" x14ac:dyDescent="0.25">
      <c r="B1" s="41" t="s">
        <v>393</v>
      </c>
      <c r="C1" s="24" t="s">
        <v>351</v>
      </c>
      <c r="D1" s="50"/>
      <c r="E1" s="50"/>
      <c r="F1" s="50"/>
      <c r="G1" s="48" t="s">
        <v>394</v>
      </c>
      <c r="H1" s="49" t="s">
        <v>395</v>
      </c>
    </row>
    <row r="2" spans="1:8" x14ac:dyDescent="0.25">
      <c r="B2" s="41" t="s">
        <v>321</v>
      </c>
      <c r="C2" s="50" t="s">
        <v>32</v>
      </c>
      <c r="D2" s="50" t="s">
        <v>19</v>
      </c>
      <c r="E2" s="50" t="s">
        <v>26</v>
      </c>
      <c r="F2" s="50" t="s">
        <v>347</v>
      </c>
      <c r="G2" s="48"/>
      <c r="H2" s="49"/>
    </row>
    <row r="3" spans="1:8" x14ac:dyDescent="0.25">
      <c r="A3">
        <v>1</v>
      </c>
      <c r="B3" s="42" t="s">
        <v>358</v>
      </c>
      <c r="C3" s="29">
        <v>604.41999999999996</v>
      </c>
      <c r="D3" s="29">
        <v>501.95500000000004</v>
      </c>
      <c r="E3" s="29">
        <v>1172.375</v>
      </c>
      <c r="F3" s="59">
        <v>2278.75</v>
      </c>
      <c r="G3" s="34" cm="1">
        <f t="array" ref="G3:G14">VLOOKUP(A3:A14,Metas_2024!B3:F14,5,0)</f>
        <v>55481</v>
      </c>
      <c r="H3" s="47">
        <f>F3/G3</f>
        <v>4.1072619455309024E-2</v>
      </c>
    </row>
    <row r="4" spans="1:8" x14ac:dyDescent="0.25">
      <c r="A4">
        <v>2</v>
      </c>
      <c r="B4" s="42" t="s">
        <v>359</v>
      </c>
      <c r="C4" s="29">
        <v>1160.1200000000001</v>
      </c>
      <c r="D4" s="29">
        <v>2192.2349999999997</v>
      </c>
      <c r="E4" s="29">
        <v>1014.5350000000001</v>
      </c>
      <c r="F4" s="59">
        <v>4366.8899999999994</v>
      </c>
      <c r="G4" s="34">
        <v>52732</v>
      </c>
      <c r="H4" s="47">
        <f t="shared" ref="H4:H14" si="0">F4/G4</f>
        <v>8.2812902981112033E-2</v>
      </c>
    </row>
    <row r="5" spans="1:8" x14ac:dyDescent="0.25">
      <c r="A5">
        <v>3</v>
      </c>
      <c r="B5" s="42" t="s">
        <v>360</v>
      </c>
      <c r="C5" s="29">
        <v>2280.2649999999999</v>
      </c>
      <c r="D5" s="29">
        <v>1779.7399999999998</v>
      </c>
      <c r="E5" s="29">
        <v>958.40499999999997</v>
      </c>
      <c r="F5" s="59">
        <v>5018.41</v>
      </c>
      <c r="G5" s="34">
        <v>50652</v>
      </c>
      <c r="H5" s="47">
        <f t="shared" si="0"/>
        <v>9.9076245755350234E-2</v>
      </c>
    </row>
    <row r="6" spans="1:8" x14ac:dyDescent="0.25">
      <c r="A6">
        <v>4</v>
      </c>
      <c r="B6" s="42" t="s">
        <v>361</v>
      </c>
      <c r="C6" s="29">
        <v>1171.4775</v>
      </c>
      <c r="D6" s="29">
        <v>903.83749999999986</v>
      </c>
      <c r="E6" s="29">
        <v>878.53800000000001</v>
      </c>
      <c r="F6" s="59">
        <v>2953.8529999999996</v>
      </c>
      <c r="G6" s="34">
        <v>53641</v>
      </c>
      <c r="H6" s="47">
        <f t="shared" si="0"/>
        <v>5.5067075557875496E-2</v>
      </c>
    </row>
    <row r="7" spans="1:8" x14ac:dyDescent="0.25">
      <c r="A7">
        <v>5</v>
      </c>
      <c r="B7" s="42" t="s">
        <v>362</v>
      </c>
      <c r="C7" s="29">
        <v>1935.2125000000001</v>
      </c>
      <c r="D7" s="29">
        <v>2661.27</v>
      </c>
      <c r="E7" s="29">
        <v>1254.7500000000002</v>
      </c>
      <c r="F7" s="59">
        <v>5851.2325000000001</v>
      </c>
      <c r="G7" s="34">
        <v>54240</v>
      </c>
      <c r="H7" s="47">
        <f t="shared" si="0"/>
        <v>0.10787670538348083</v>
      </c>
    </row>
    <row r="8" spans="1:8" x14ac:dyDescent="0.25">
      <c r="A8">
        <v>6</v>
      </c>
      <c r="B8" s="42" t="s">
        <v>363</v>
      </c>
      <c r="C8" s="29">
        <v>1435.9369999999999</v>
      </c>
      <c r="D8" s="29">
        <v>1669.258</v>
      </c>
      <c r="E8" s="29">
        <v>1121.2</v>
      </c>
      <c r="F8" s="59">
        <v>4226.3949999999995</v>
      </c>
      <c r="G8" s="34">
        <v>52770</v>
      </c>
      <c r="H8" s="47">
        <f t="shared" si="0"/>
        <v>8.0090866022361179E-2</v>
      </c>
    </row>
    <row r="9" spans="1:8" x14ac:dyDescent="0.25">
      <c r="A9">
        <v>7</v>
      </c>
      <c r="B9" s="42" t="s">
        <v>364</v>
      </c>
      <c r="C9" s="29">
        <v>1776.35</v>
      </c>
      <c r="D9" s="29">
        <v>1362.99</v>
      </c>
      <c r="E9" s="29">
        <v>2414.8200000000002</v>
      </c>
      <c r="F9" s="59">
        <v>5554.16</v>
      </c>
      <c r="G9" s="34">
        <v>59428</v>
      </c>
      <c r="H9" s="47">
        <f t="shared" si="0"/>
        <v>9.3460321733862817E-2</v>
      </c>
    </row>
    <row r="10" spans="1:8" x14ac:dyDescent="0.25">
      <c r="A10">
        <v>8</v>
      </c>
      <c r="B10" s="42" t="s">
        <v>365</v>
      </c>
      <c r="C10" s="29">
        <v>1015.8460000000002</v>
      </c>
      <c r="D10" s="29">
        <v>827.42000000000007</v>
      </c>
      <c r="E10" s="29">
        <v>3642.0024999999996</v>
      </c>
      <c r="F10" s="59">
        <v>5485.2685000000001</v>
      </c>
      <c r="G10" s="34">
        <v>60014</v>
      </c>
      <c r="H10" s="47">
        <f t="shared" si="0"/>
        <v>9.1399815043156599E-2</v>
      </c>
    </row>
    <row r="11" spans="1:8" x14ac:dyDescent="0.25">
      <c r="A11">
        <v>9</v>
      </c>
      <c r="B11" s="42" t="s">
        <v>366</v>
      </c>
      <c r="C11" s="29">
        <v>3329.8650000000002</v>
      </c>
      <c r="D11" s="29">
        <v>2858.2799999999997</v>
      </c>
      <c r="E11" s="29">
        <v>329.86</v>
      </c>
      <c r="F11" s="59">
        <v>6518.0050000000001</v>
      </c>
      <c r="G11" s="34">
        <v>57116</v>
      </c>
      <c r="H11" s="47">
        <f t="shared" si="0"/>
        <v>0.11411872329995097</v>
      </c>
    </row>
    <row r="12" spans="1:8" x14ac:dyDescent="0.25">
      <c r="A12">
        <v>10</v>
      </c>
      <c r="B12" s="42" t="s">
        <v>367</v>
      </c>
      <c r="C12" s="29">
        <v>1910.7799999999997</v>
      </c>
      <c r="D12" s="29">
        <v>3953.67</v>
      </c>
      <c r="E12" s="29">
        <v>2519.98</v>
      </c>
      <c r="F12" s="59">
        <v>8384.43</v>
      </c>
      <c r="G12" s="34">
        <v>52071</v>
      </c>
      <c r="H12" s="47">
        <f t="shared" si="0"/>
        <v>0.16101918534308926</v>
      </c>
    </row>
    <row r="13" spans="1:8" x14ac:dyDescent="0.25">
      <c r="A13">
        <v>11</v>
      </c>
      <c r="B13" s="42" t="s">
        <v>368</v>
      </c>
      <c r="C13" s="29">
        <v>686.01499999999999</v>
      </c>
      <c r="D13" s="29">
        <v>3224.4650000000001</v>
      </c>
      <c r="E13" s="29">
        <v>728.52</v>
      </c>
      <c r="F13" s="59">
        <v>4639</v>
      </c>
      <c r="G13" s="34">
        <v>55411</v>
      </c>
      <c r="H13" s="47">
        <f t="shared" si="0"/>
        <v>8.3719839021132988E-2</v>
      </c>
    </row>
    <row r="14" spans="1:8" x14ac:dyDescent="0.25">
      <c r="A14">
        <v>12</v>
      </c>
      <c r="B14" s="42" t="s">
        <v>369</v>
      </c>
      <c r="C14" s="29">
        <v>1689.4350000000002</v>
      </c>
      <c r="D14" s="29">
        <v>653.23750000000007</v>
      </c>
      <c r="E14" s="29">
        <v>2720.7399999999993</v>
      </c>
      <c r="F14" s="59">
        <v>5063.4124999999995</v>
      </c>
      <c r="G14" s="34">
        <v>53438</v>
      </c>
      <c r="H14" s="47">
        <f t="shared" si="0"/>
        <v>9.475303155058197E-2</v>
      </c>
    </row>
    <row r="15" spans="1:8" x14ac:dyDescent="0.25">
      <c r="B15" s="42" t="s">
        <v>347</v>
      </c>
      <c r="C15" s="29">
        <v>18995.722999999998</v>
      </c>
      <c r="D15" s="29">
        <v>22588.358</v>
      </c>
      <c r="E15" s="29">
        <v>18755.725499999997</v>
      </c>
      <c r="F15" s="59">
        <v>60339.806499999992</v>
      </c>
      <c r="G15" s="46">
        <f>SUM(G3:G14)</f>
        <v>656994</v>
      </c>
      <c r="H15" s="50"/>
    </row>
    <row r="17" spans="1:1" x14ac:dyDescent="0.25">
      <c r="A17" s="27" t="s">
        <v>348</v>
      </c>
    </row>
    <row r="18" spans="1:1" x14ac:dyDescent="0.25">
      <c r="A18" s="23" t="s">
        <v>399</v>
      </c>
    </row>
    <row r="19" spans="1:1" x14ac:dyDescent="0.25">
      <c r="A19" s="43" t="s">
        <v>398</v>
      </c>
    </row>
    <row r="20" spans="1:1" x14ac:dyDescent="0.25">
      <c r="A20" s="43" t="s">
        <v>396</v>
      </c>
    </row>
    <row r="21" spans="1:1" x14ac:dyDescent="0.25">
      <c r="A21" s="43" t="s">
        <v>397</v>
      </c>
    </row>
    <row r="22" spans="1:1" x14ac:dyDescent="0.25">
      <c r="A22" s="43"/>
    </row>
  </sheetData>
  <conditionalFormatting sqref="H3:H14">
    <cfRule type="cellIs" dxfId="2" priority="1" operator="lessThanOrEqual">
      <formula>0.1</formula>
    </cfRule>
    <cfRule type="cellIs" dxfId="1" priority="2" operator="greaterThanOrEqual">
      <formula>0.101</formula>
    </cfRule>
  </conditionalFormatting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1479E-CD9B-4064-8B10-34DDE7B1DC42}">
  <dimension ref="A1:B13"/>
  <sheetViews>
    <sheetView workbookViewId="0">
      <selection activeCell="B19" sqref="B19"/>
    </sheetView>
  </sheetViews>
  <sheetFormatPr defaultRowHeight="15" x14ac:dyDescent="0.25"/>
  <cols>
    <col min="1" max="1" width="46.28515625" bestFit="1" customWidth="1"/>
    <col min="2" max="2" width="14.28515625" bestFit="1" customWidth="1"/>
  </cols>
  <sheetData>
    <row r="1" spans="1:2" x14ac:dyDescent="0.25">
      <c r="A1" s="24" t="s">
        <v>380</v>
      </c>
      <c r="B1" t="s">
        <v>391</v>
      </c>
    </row>
    <row r="2" spans="1:2" x14ac:dyDescent="0.25">
      <c r="A2" s="25" t="s">
        <v>25</v>
      </c>
      <c r="B2" s="29">
        <v>303.78000000000003</v>
      </c>
    </row>
    <row r="3" spans="1:2" x14ac:dyDescent="0.25">
      <c r="A3" s="25" t="s">
        <v>45</v>
      </c>
      <c r="B3" s="29">
        <v>199.01999999999998</v>
      </c>
    </row>
    <row r="4" spans="1:2" x14ac:dyDescent="0.25">
      <c r="A4" s="25" t="s">
        <v>40</v>
      </c>
      <c r="B4" s="29">
        <v>221.05999999999997</v>
      </c>
    </row>
    <row r="5" spans="1:2" x14ac:dyDescent="0.25">
      <c r="A5" s="25" t="s">
        <v>18</v>
      </c>
      <c r="B5" s="29">
        <v>293.81000000000006</v>
      </c>
    </row>
    <row r="6" spans="1:2" x14ac:dyDescent="0.25">
      <c r="A6" s="25" t="s">
        <v>31</v>
      </c>
      <c r="B6" s="29">
        <v>476.44999999999993</v>
      </c>
    </row>
    <row r="7" spans="1:2" x14ac:dyDescent="0.25">
      <c r="A7" s="25" t="s">
        <v>50</v>
      </c>
      <c r="B7" s="29">
        <v>183.97</v>
      </c>
    </row>
    <row r="8" spans="1:2" x14ac:dyDescent="0.25">
      <c r="A8" s="25" t="s">
        <v>347</v>
      </c>
      <c r="B8" s="58">
        <v>1678.09</v>
      </c>
    </row>
    <row r="11" spans="1:2" x14ac:dyDescent="0.25">
      <c r="A11" s="27" t="s">
        <v>348</v>
      </c>
    </row>
    <row r="12" spans="1:2" x14ac:dyDescent="0.25">
      <c r="A12" s="23" t="s">
        <v>389</v>
      </c>
    </row>
    <row r="13" spans="1:2" x14ac:dyDescent="0.25">
      <c r="A13" s="23" t="s">
        <v>392</v>
      </c>
    </row>
  </sheetData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3B604-2235-4A9A-A076-26EBB0C6D0FE}">
  <dimension ref="B1:D46"/>
  <sheetViews>
    <sheetView topLeftCell="A15" workbookViewId="0">
      <selection activeCell="G25" sqref="G25"/>
    </sheetView>
  </sheetViews>
  <sheetFormatPr defaultRowHeight="15" x14ac:dyDescent="0.25"/>
  <cols>
    <col min="2" max="2" width="26.7109375" bestFit="1" customWidth="1"/>
    <col min="3" max="3" width="13.5703125" bestFit="1" customWidth="1"/>
    <col min="4" max="4" width="21.140625" bestFit="1" customWidth="1"/>
  </cols>
  <sheetData>
    <row r="1" spans="2:4" x14ac:dyDescent="0.25">
      <c r="C1" s="35"/>
      <c r="D1" s="33"/>
    </row>
    <row r="2" spans="2:4" x14ac:dyDescent="0.25">
      <c r="B2" s="24" t="s">
        <v>383</v>
      </c>
      <c r="C2" s="23" t="s">
        <v>352</v>
      </c>
      <c r="D2" s="30" t="s">
        <v>353</v>
      </c>
    </row>
    <row r="3" spans="2:4" x14ac:dyDescent="0.25">
      <c r="B3" s="25" t="s">
        <v>28</v>
      </c>
      <c r="C3" s="29">
        <v>803.87500000000011</v>
      </c>
      <c r="D3" s="30">
        <v>134</v>
      </c>
    </row>
    <row r="4" spans="2:4" x14ac:dyDescent="0.25">
      <c r="B4" s="25" t="s">
        <v>96</v>
      </c>
      <c r="C4" s="29">
        <v>859.32000000000016</v>
      </c>
      <c r="D4" s="30">
        <v>86</v>
      </c>
    </row>
    <row r="5" spans="2:4" x14ac:dyDescent="0.25">
      <c r="B5" s="25" t="s">
        <v>128</v>
      </c>
      <c r="C5" s="29">
        <v>865.94299999999998</v>
      </c>
      <c r="D5" s="30">
        <v>142</v>
      </c>
    </row>
    <row r="6" spans="2:4" x14ac:dyDescent="0.25">
      <c r="B6" s="25" t="s">
        <v>79</v>
      </c>
      <c r="C6" s="29">
        <v>960.95600000000013</v>
      </c>
      <c r="D6" s="30">
        <v>120</v>
      </c>
    </row>
    <row r="7" spans="2:4" x14ac:dyDescent="0.25">
      <c r="B7" s="25" t="s">
        <v>43</v>
      </c>
      <c r="C7" s="29">
        <v>1149.3900000000001</v>
      </c>
      <c r="D7" s="30">
        <v>88</v>
      </c>
    </row>
    <row r="8" spans="2:4" x14ac:dyDescent="0.25">
      <c r="B8" s="25" t="s">
        <v>150</v>
      </c>
      <c r="C8" s="29">
        <v>1282.82</v>
      </c>
      <c r="D8" s="30">
        <v>107</v>
      </c>
    </row>
    <row r="9" spans="2:4" x14ac:dyDescent="0.25">
      <c r="B9" s="25" t="s">
        <v>122</v>
      </c>
      <c r="C9" s="29">
        <v>1284.9349999999999</v>
      </c>
      <c r="D9" s="30">
        <v>161</v>
      </c>
    </row>
    <row r="10" spans="2:4" x14ac:dyDescent="0.25">
      <c r="B10" s="25" t="s">
        <v>39</v>
      </c>
      <c r="C10" s="29">
        <v>1310.6399999999999</v>
      </c>
      <c r="D10" s="30">
        <v>100</v>
      </c>
    </row>
    <row r="11" spans="2:4" x14ac:dyDescent="0.25">
      <c r="B11" s="25" t="s">
        <v>34</v>
      </c>
      <c r="C11" s="29">
        <v>1562.2650000000001</v>
      </c>
      <c r="D11" s="30">
        <v>104</v>
      </c>
    </row>
    <row r="12" spans="2:4" x14ac:dyDescent="0.25">
      <c r="B12" s="25" t="s">
        <v>70</v>
      </c>
      <c r="C12" s="29">
        <v>1612.0999999999997</v>
      </c>
      <c r="D12" s="30">
        <v>49</v>
      </c>
    </row>
    <row r="13" spans="2:4" x14ac:dyDescent="0.25">
      <c r="B13" s="25" t="s">
        <v>60</v>
      </c>
      <c r="C13" s="29">
        <v>1795.0350000000003</v>
      </c>
      <c r="D13" s="30">
        <v>138</v>
      </c>
    </row>
    <row r="14" spans="2:4" x14ac:dyDescent="0.25">
      <c r="B14" s="25" t="s">
        <v>88</v>
      </c>
      <c r="C14" s="29">
        <v>1865.0099999999998</v>
      </c>
      <c r="D14" s="30">
        <v>74</v>
      </c>
    </row>
    <row r="15" spans="2:4" x14ac:dyDescent="0.25">
      <c r="B15" s="25" t="s">
        <v>82</v>
      </c>
      <c r="C15" s="29">
        <v>2232.02</v>
      </c>
      <c r="D15" s="30">
        <v>149</v>
      </c>
    </row>
    <row r="16" spans="2:4" x14ac:dyDescent="0.25">
      <c r="B16" s="25" t="s">
        <v>94</v>
      </c>
      <c r="C16" s="29">
        <v>2424.8149999999996</v>
      </c>
      <c r="D16" s="30">
        <v>121</v>
      </c>
    </row>
    <row r="17" spans="2:4" x14ac:dyDescent="0.25">
      <c r="B17" s="25" t="s">
        <v>108</v>
      </c>
      <c r="C17" s="29">
        <v>2705.3849999999998</v>
      </c>
      <c r="D17" s="30">
        <v>107</v>
      </c>
    </row>
    <row r="18" spans="2:4" x14ac:dyDescent="0.25">
      <c r="B18" s="25" t="s">
        <v>55</v>
      </c>
      <c r="C18" s="29">
        <v>2776.6249999999995</v>
      </c>
      <c r="D18" s="30">
        <v>121</v>
      </c>
    </row>
    <row r="19" spans="2:4" x14ac:dyDescent="0.25">
      <c r="B19" s="25" t="s">
        <v>48</v>
      </c>
      <c r="C19" s="29">
        <v>3482.3250000000003</v>
      </c>
      <c r="D19" s="30">
        <v>183</v>
      </c>
    </row>
    <row r="20" spans="2:4" x14ac:dyDescent="0.25">
      <c r="B20" s="25" t="s">
        <v>207</v>
      </c>
      <c r="C20" s="29">
        <v>4093.7470000000003</v>
      </c>
      <c r="D20" s="30">
        <v>123</v>
      </c>
    </row>
    <row r="21" spans="2:4" x14ac:dyDescent="0.25">
      <c r="B21" s="25" t="s">
        <v>172</v>
      </c>
      <c r="C21" s="29">
        <v>6809.9250000000011</v>
      </c>
      <c r="D21" s="30">
        <v>75</v>
      </c>
    </row>
    <row r="22" spans="2:4" x14ac:dyDescent="0.25">
      <c r="B22" s="25" t="s">
        <v>103</v>
      </c>
      <c r="C22" s="29">
        <v>9711.81</v>
      </c>
      <c r="D22" s="30">
        <v>176</v>
      </c>
    </row>
    <row r="23" spans="2:4" x14ac:dyDescent="0.25">
      <c r="B23" s="25" t="s">
        <v>347</v>
      </c>
      <c r="C23" s="29">
        <v>49588.940999999999</v>
      </c>
      <c r="D23" s="30">
        <v>2358</v>
      </c>
    </row>
    <row r="24" spans="2:4" x14ac:dyDescent="0.25">
      <c r="D24" s="33"/>
    </row>
    <row r="25" spans="2:4" x14ac:dyDescent="0.25">
      <c r="B25" s="27" t="s">
        <v>348</v>
      </c>
      <c r="D25" s="33"/>
    </row>
    <row r="26" spans="2:4" x14ac:dyDescent="0.25">
      <c r="B26" s="23" t="s">
        <v>384</v>
      </c>
      <c r="D26" s="33"/>
    </row>
    <row r="27" spans="2:4" x14ac:dyDescent="0.25">
      <c r="B27" s="23" t="s">
        <v>385</v>
      </c>
      <c r="D27" s="33"/>
    </row>
    <row r="28" spans="2:4" x14ac:dyDescent="0.25">
      <c r="B28" s="23" t="s">
        <v>386</v>
      </c>
      <c r="D28" s="33"/>
    </row>
    <row r="29" spans="2:4" x14ac:dyDescent="0.25">
      <c r="D29" s="33"/>
    </row>
    <row r="30" spans="2:4" x14ac:dyDescent="0.25">
      <c r="D30" s="33"/>
    </row>
    <row r="31" spans="2:4" x14ac:dyDescent="0.25">
      <c r="D31" s="33"/>
    </row>
    <row r="32" spans="2:4" x14ac:dyDescent="0.25">
      <c r="D32" s="33"/>
    </row>
    <row r="33" spans="4:4" x14ac:dyDescent="0.25">
      <c r="D33" s="33"/>
    </row>
    <row r="34" spans="4:4" x14ac:dyDescent="0.25">
      <c r="D34" s="33"/>
    </row>
    <row r="35" spans="4:4" x14ac:dyDescent="0.25">
      <c r="D35" s="33"/>
    </row>
    <row r="36" spans="4:4" x14ac:dyDescent="0.25">
      <c r="D36" s="33"/>
    </row>
    <row r="37" spans="4:4" x14ac:dyDescent="0.25">
      <c r="D37" s="33"/>
    </row>
    <row r="38" spans="4:4" x14ac:dyDescent="0.25">
      <c r="D38" s="33"/>
    </row>
    <row r="39" spans="4:4" x14ac:dyDescent="0.25">
      <c r="D39" s="33"/>
    </row>
    <row r="40" spans="4:4" x14ac:dyDescent="0.25">
      <c r="D40" s="33"/>
    </row>
    <row r="41" spans="4:4" x14ac:dyDescent="0.25">
      <c r="D41" s="33"/>
    </row>
    <row r="42" spans="4:4" x14ac:dyDescent="0.25">
      <c r="D42" s="33"/>
    </row>
    <row r="43" spans="4:4" x14ac:dyDescent="0.25">
      <c r="D43" s="33"/>
    </row>
    <row r="44" spans="4:4" x14ac:dyDescent="0.25">
      <c r="D44" s="33"/>
    </row>
    <row r="45" spans="4:4" x14ac:dyDescent="0.25">
      <c r="D45" s="33"/>
    </row>
    <row r="46" spans="4:4" x14ac:dyDescent="0.25">
      <c r="D46" s="33"/>
    </row>
  </sheetData>
  <pageMargins left="0.511811024" right="0.511811024" top="0.78740157499999996" bottom="0.78740157499999996" header="0.31496062000000002" footer="0.31496062000000002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CCC3B-B957-45E9-ACD6-34E8F9FEC660}">
  <dimension ref="A2:D28"/>
  <sheetViews>
    <sheetView tabSelected="1" workbookViewId="0">
      <selection activeCell="K5" sqref="K5"/>
    </sheetView>
  </sheetViews>
  <sheetFormatPr defaultRowHeight="15" x14ac:dyDescent="0.25"/>
  <cols>
    <col min="1" max="1" width="11.7109375" bestFit="1" customWidth="1"/>
    <col min="2" max="2" width="19" bestFit="1" customWidth="1"/>
    <col min="3" max="3" width="18.140625" bestFit="1" customWidth="1"/>
    <col min="4" max="4" width="21.7109375" bestFit="1" customWidth="1"/>
  </cols>
  <sheetData>
    <row r="2" spans="1:4" x14ac:dyDescent="0.25">
      <c r="A2" s="24" t="s">
        <v>3</v>
      </c>
      <c r="B2" s="28" t="s">
        <v>354</v>
      </c>
      <c r="C2" s="28" t="s">
        <v>355</v>
      </c>
      <c r="D2" s="28" t="s">
        <v>356</v>
      </c>
    </row>
    <row r="3" spans="1:4" x14ac:dyDescent="0.25">
      <c r="A3" s="25" t="s">
        <v>56</v>
      </c>
      <c r="B3" s="22">
        <v>20</v>
      </c>
      <c r="C3" s="26">
        <v>6.6666666666666666E-2</v>
      </c>
      <c r="D3" s="26">
        <v>6.6666666666666666E-2</v>
      </c>
    </row>
    <row r="4" spans="1:4" x14ac:dyDescent="0.25">
      <c r="A4" s="25" t="s">
        <v>29</v>
      </c>
      <c r="B4" s="22">
        <v>40</v>
      </c>
      <c r="C4" s="26">
        <v>0.13333333333333333</v>
      </c>
      <c r="D4" s="26">
        <v>0.2</v>
      </c>
    </row>
    <row r="5" spans="1:4" x14ac:dyDescent="0.25">
      <c r="A5" s="25" t="s">
        <v>74</v>
      </c>
      <c r="B5" s="22">
        <v>30</v>
      </c>
      <c r="C5" s="26">
        <v>0.1</v>
      </c>
      <c r="D5" s="26">
        <v>0.3</v>
      </c>
    </row>
    <row r="6" spans="1:4" x14ac:dyDescent="0.25">
      <c r="A6" s="25" t="s">
        <v>35</v>
      </c>
      <c r="B6" s="22">
        <v>42</v>
      </c>
      <c r="C6" s="26">
        <v>0.14000000000000001</v>
      </c>
      <c r="D6" s="26">
        <v>0.44</v>
      </c>
    </row>
    <row r="7" spans="1:4" x14ac:dyDescent="0.25">
      <c r="A7" s="25" t="s">
        <v>61</v>
      </c>
      <c r="B7" s="22">
        <v>39</v>
      </c>
      <c r="C7" s="26">
        <v>0.13</v>
      </c>
      <c r="D7" s="26">
        <v>0.56999999999999995</v>
      </c>
    </row>
    <row r="8" spans="1:4" x14ac:dyDescent="0.25">
      <c r="A8" s="25" t="s">
        <v>16</v>
      </c>
      <c r="B8" s="22">
        <v>30</v>
      </c>
      <c r="C8" s="26">
        <v>0.1</v>
      </c>
      <c r="D8" s="26">
        <v>0.67</v>
      </c>
    </row>
    <row r="9" spans="1:4" x14ac:dyDescent="0.25">
      <c r="A9" s="25" t="s">
        <v>23</v>
      </c>
      <c r="B9" s="22">
        <v>65</v>
      </c>
      <c r="C9" s="26">
        <v>0.21666666666666667</v>
      </c>
      <c r="D9" s="26">
        <v>0.88666666666666671</v>
      </c>
    </row>
    <row r="10" spans="1:4" x14ac:dyDescent="0.25">
      <c r="A10" s="25" t="s">
        <v>68</v>
      </c>
      <c r="B10" s="22">
        <v>34</v>
      </c>
      <c r="C10" s="26">
        <v>0.11333333333333333</v>
      </c>
      <c r="D10" s="26">
        <v>1</v>
      </c>
    </row>
    <row r="11" spans="1:4" x14ac:dyDescent="0.25">
      <c r="A11" s="25" t="s">
        <v>347</v>
      </c>
      <c r="B11" s="22">
        <v>300</v>
      </c>
      <c r="C11" s="26">
        <v>1</v>
      </c>
      <c r="D11" s="26"/>
    </row>
    <row r="26" spans="1:1" x14ac:dyDescent="0.25">
      <c r="A26" s="27" t="s">
        <v>348</v>
      </c>
    </row>
    <row r="27" spans="1:1" x14ac:dyDescent="0.25">
      <c r="A27" t="s">
        <v>349</v>
      </c>
    </row>
    <row r="28" spans="1:1" x14ac:dyDescent="0.25">
      <c r="A28" t="s">
        <v>350</v>
      </c>
    </row>
  </sheetData>
  <pageMargins left="0.511811024" right="0.511811024" top="0.78740157499999996" bottom="0.78740157499999996" header="0.31496062000000002" footer="0.31496062000000002"/>
  <drawing r:id="rId2"/>
  <extLst>
    <ext xmlns:x15="http://schemas.microsoft.com/office/spreadsheetml/2010/11/main" uri="{7E03D99C-DC04-49d9-9315-930204A7B6E9}">
      <x15:timelineRefs>
        <x15:timelineRef r:id="rId3"/>
      </x15:timelineRef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F75C3-8D30-4E4F-901D-43FE075D4318}">
  <dimension ref="A2:E29"/>
  <sheetViews>
    <sheetView workbookViewId="0">
      <selection activeCell="H15" sqref="H15"/>
    </sheetView>
  </sheetViews>
  <sheetFormatPr defaultRowHeight="15" x14ac:dyDescent="0.25"/>
  <cols>
    <col min="1" max="1" width="14.140625" bestFit="1" customWidth="1"/>
    <col min="2" max="2" width="19.42578125" bestFit="1" customWidth="1"/>
    <col min="3" max="4" width="21.140625" bestFit="1" customWidth="1"/>
    <col min="5" max="5" width="12.5703125" bestFit="1" customWidth="1"/>
  </cols>
  <sheetData>
    <row r="2" spans="1:5" x14ac:dyDescent="0.25">
      <c r="A2" s="24" t="s">
        <v>357</v>
      </c>
      <c r="B2" s="50" t="s">
        <v>374</v>
      </c>
      <c r="C2" s="50" t="s">
        <v>372</v>
      </c>
      <c r="D2" s="50" t="s">
        <v>370</v>
      </c>
      <c r="E2" s="50" t="s">
        <v>371</v>
      </c>
    </row>
    <row r="3" spans="1:5" x14ac:dyDescent="0.25">
      <c r="A3" s="51" t="s">
        <v>31</v>
      </c>
      <c r="B3" s="29">
        <v>920.68999999999983</v>
      </c>
      <c r="C3" s="52">
        <v>5</v>
      </c>
      <c r="D3" s="26">
        <v>0.31169120467403083</v>
      </c>
      <c r="E3" s="26">
        <v>0.31169120467403083</v>
      </c>
    </row>
    <row r="4" spans="1:5" x14ac:dyDescent="0.25">
      <c r="A4" s="51" t="s">
        <v>50</v>
      </c>
      <c r="B4" s="29">
        <v>582.66</v>
      </c>
      <c r="C4" s="52">
        <v>1</v>
      </c>
      <c r="D4" s="26">
        <v>0.19725423032222661</v>
      </c>
      <c r="E4" s="26">
        <v>0.50894543499625744</v>
      </c>
    </row>
    <row r="5" spans="1:5" x14ac:dyDescent="0.25">
      <c r="A5" s="51" t="s">
        <v>45</v>
      </c>
      <c r="B5" s="29">
        <v>491.79999999999995</v>
      </c>
      <c r="C5" s="52">
        <v>3</v>
      </c>
      <c r="D5" s="26">
        <v>0.16649440578119495</v>
      </c>
      <c r="E5" s="26">
        <v>0.67543984077745245</v>
      </c>
    </row>
    <row r="6" spans="1:5" x14ac:dyDescent="0.25">
      <c r="A6" s="51" t="s">
        <v>40</v>
      </c>
      <c r="B6" s="29">
        <v>464.31550000000004</v>
      </c>
      <c r="C6" s="52">
        <v>6</v>
      </c>
      <c r="D6" s="26">
        <v>0.15718977890910621</v>
      </c>
      <c r="E6" s="26">
        <v>0.83262961968655858</v>
      </c>
    </row>
    <row r="7" spans="1:5" x14ac:dyDescent="0.25">
      <c r="A7" s="51" t="s">
        <v>25</v>
      </c>
      <c r="B7" s="29">
        <v>428.05</v>
      </c>
      <c r="C7" s="52">
        <v>2</v>
      </c>
      <c r="D7" s="26">
        <v>0.14491242455193271</v>
      </c>
      <c r="E7" s="26">
        <v>0.97754204423849134</v>
      </c>
    </row>
    <row r="8" spans="1:5" x14ac:dyDescent="0.25">
      <c r="A8" s="51" t="s">
        <v>18</v>
      </c>
      <c r="B8" s="29">
        <v>66.337500000000006</v>
      </c>
      <c r="C8" s="52">
        <v>2</v>
      </c>
      <c r="D8" s="26">
        <v>2.2457955761508788E-2</v>
      </c>
      <c r="E8" s="26">
        <v>1.0000000000000002</v>
      </c>
    </row>
    <row r="9" spans="1:5" x14ac:dyDescent="0.25">
      <c r="A9" s="51" t="s">
        <v>347</v>
      </c>
      <c r="B9" s="29">
        <v>2953.8529999999996</v>
      </c>
      <c r="C9" s="52">
        <v>19</v>
      </c>
      <c r="D9" s="26">
        <v>1</v>
      </c>
      <c r="E9" s="26"/>
    </row>
    <row r="27" spans="1:3" x14ac:dyDescent="0.25">
      <c r="A27" s="27" t="s">
        <v>348</v>
      </c>
    </row>
    <row r="28" spans="1:3" x14ac:dyDescent="0.25">
      <c r="A28" s="53" t="s">
        <v>373</v>
      </c>
      <c r="B28" s="53"/>
      <c r="C28" s="53"/>
    </row>
    <row r="29" spans="1:3" x14ac:dyDescent="0.25">
      <c r="A29" s="53" t="s">
        <v>378</v>
      </c>
      <c r="B29" s="53"/>
      <c r="C29" s="25"/>
    </row>
  </sheetData>
  <mergeCells count="2">
    <mergeCell ref="A28:C28"/>
    <mergeCell ref="A29:B29"/>
  </mergeCells>
  <pageMargins left="0.511811024" right="0.511811024" top="0.78740157499999996" bottom="0.78740157499999996" header="0.31496062000000002" footer="0.31496062000000002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BD7A2-F262-4B2F-BDD0-24BEC1F18E06}">
  <dimension ref="A1:E21"/>
  <sheetViews>
    <sheetView topLeftCell="A2" workbookViewId="0">
      <selection activeCell="H14" sqref="H14"/>
    </sheetView>
  </sheetViews>
  <sheetFormatPr defaultRowHeight="15" x14ac:dyDescent="0.25"/>
  <cols>
    <col min="1" max="1" width="11" bestFit="1" customWidth="1"/>
    <col min="2" max="2" width="14" bestFit="1" customWidth="1"/>
    <col min="3" max="3" width="16.5703125" bestFit="1" customWidth="1"/>
  </cols>
  <sheetData>
    <row r="1" spans="1:3" x14ac:dyDescent="0.25">
      <c r="A1" s="24" t="s">
        <v>380</v>
      </c>
      <c r="B1" s="23" t="s">
        <v>379</v>
      </c>
      <c r="C1" s="23" t="s">
        <v>381</v>
      </c>
    </row>
    <row r="2" spans="1:3" x14ac:dyDescent="0.25">
      <c r="A2" s="25" t="s">
        <v>32</v>
      </c>
      <c r="B2" s="29">
        <v>18995.723000000002</v>
      </c>
      <c r="C2" s="26">
        <v>0.31481246132269258</v>
      </c>
    </row>
    <row r="3" spans="1:3" x14ac:dyDescent="0.25">
      <c r="A3" s="25" t="s">
        <v>19</v>
      </c>
      <c r="B3" s="29">
        <v>22588.358000000004</v>
      </c>
      <c r="C3" s="26">
        <v>0.3743525097316977</v>
      </c>
    </row>
    <row r="4" spans="1:3" x14ac:dyDescent="0.25">
      <c r="A4" s="25" t="s">
        <v>26</v>
      </c>
      <c r="B4" s="29">
        <v>18755.72549999999</v>
      </c>
      <c r="C4" s="26">
        <v>0.31083502894560977</v>
      </c>
    </row>
    <row r="5" spans="1:3" x14ac:dyDescent="0.25">
      <c r="A5" s="25" t="s">
        <v>347</v>
      </c>
      <c r="B5" s="29">
        <v>60339.806499999992</v>
      </c>
      <c r="C5" s="26">
        <v>1</v>
      </c>
    </row>
    <row r="20" spans="1:5" x14ac:dyDescent="0.25">
      <c r="A20" s="27" t="s">
        <v>348</v>
      </c>
    </row>
    <row r="21" spans="1:5" ht="32.25" customHeight="1" x14ac:dyDescent="0.25">
      <c r="A21" s="57" t="s">
        <v>382</v>
      </c>
      <c r="B21" s="57"/>
      <c r="C21" s="57"/>
      <c r="D21" s="57"/>
      <c r="E21" s="57"/>
    </row>
  </sheetData>
  <mergeCells count="1">
    <mergeCell ref="A21:E21"/>
  </mergeCells>
  <pageMargins left="0.511811024" right="0.511811024" top="0.78740157499999996" bottom="0.78740157499999996" header="0.31496062000000002" footer="0.31496062000000002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B9894-FD92-4D87-83A9-16B65FB50462}">
  <dimension ref="A1:C32"/>
  <sheetViews>
    <sheetView zoomScaleNormal="100" workbookViewId="0">
      <selection activeCell="E3" sqref="E3"/>
    </sheetView>
  </sheetViews>
  <sheetFormatPr defaultRowHeight="15" x14ac:dyDescent="0.25"/>
  <cols>
    <col min="1" max="1" width="19.42578125" bestFit="1" customWidth="1"/>
    <col min="2" max="2" width="14.42578125" bestFit="1" customWidth="1"/>
    <col min="3" max="7" width="12.140625" bestFit="1" customWidth="1"/>
    <col min="8" max="8" width="13.28515625" bestFit="1" customWidth="1"/>
  </cols>
  <sheetData>
    <row r="1" spans="1:3" x14ac:dyDescent="0.25">
      <c r="A1" s="56" t="s">
        <v>374</v>
      </c>
      <c r="B1" s="31" t="s">
        <v>9</v>
      </c>
    </row>
    <row r="2" spans="1:3" x14ac:dyDescent="0.25">
      <c r="A2" s="24" t="s">
        <v>321</v>
      </c>
      <c r="B2" s="50" t="s">
        <v>45</v>
      </c>
      <c r="C2" s="50" t="s">
        <v>347</v>
      </c>
    </row>
    <row r="3" spans="1:3" x14ac:dyDescent="0.25">
      <c r="A3" s="32" t="s">
        <v>358</v>
      </c>
      <c r="B3" s="29">
        <v>189.54000000000002</v>
      </c>
      <c r="C3" s="29">
        <v>189.54000000000002</v>
      </c>
    </row>
    <row r="4" spans="1:3" x14ac:dyDescent="0.25">
      <c r="A4" s="32" t="s">
        <v>359</v>
      </c>
      <c r="B4" s="29">
        <v>695.8</v>
      </c>
      <c r="C4" s="29">
        <v>695.8</v>
      </c>
    </row>
    <row r="5" spans="1:3" x14ac:dyDescent="0.25">
      <c r="A5" s="32" t="s">
        <v>360</v>
      </c>
      <c r="B5" s="29">
        <v>459.08</v>
      </c>
      <c r="C5" s="29">
        <v>459.08</v>
      </c>
    </row>
    <row r="6" spans="1:3" x14ac:dyDescent="0.25">
      <c r="A6" s="32" t="s">
        <v>361</v>
      </c>
      <c r="B6" s="29">
        <v>491.79999999999995</v>
      </c>
      <c r="C6" s="29">
        <v>491.79999999999995</v>
      </c>
    </row>
    <row r="7" spans="1:3" x14ac:dyDescent="0.25">
      <c r="A7" s="32" t="s">
        <v>362</v>
      </c>
      <c r="B7" s="29">
        <v>37.5</v>
      </c>
      <c r="C7" s="29">
        <v>37.5</v>
      </c>
    </row>
    <row r="8" spans="1:3" x14ac:dyDescent="0.25">
      <c r="A8" s="32" t="s">
        <v>363</v>
      </c>
      <c r="B8" s="29">
        <v>1597.922</v>
      </c>
      <c r="C8" s="29">
        <v>1597.922</v>
      </c>
    </row>
    <row r="9" spans="1:3" x14ac:dyDescent="0.25">
      <c r="A9" s="32" t="s">
        <v>364</v>
      </c>
      <c r="B9" s="29">
        <v>816.5</v>
      </c>
      <c r="C9" s="29">
        <v>816.5</v>
      </c>
    </row>
    <row r="10" spans="1:3" x14ac:dyDescent="0.25">
      <c r="A10" s="32" t="s">
        <v>365</v>
      </c>
      <c r="B10" s="29">
        <v>845.73249999999996</v>
      </c>
      <c r="C10" s="29">
        <v>845.73249999999996</v>
      </c>
    </row>
    <row r="11" spans="1:3" x14ac:dyDescent="0.25">
      <c r="A11" s="32" t="s">
        <v>366</v>
      </c>
      <c r="B11" s="29">
        <v>126.28999999999999</v>
      </c>
      <c r="C11" s="29">
        <v>126.28999999999999</v>
      </c>
    </row>
    <row r="12" spans="1:3" x14ac:dyDescent="0.25">
      <c r="A12" s="32" t="s">
        <v>367</v>
      </c>
      <c r="B12" s="29">
        <v>342.90000000000003</v>
      </c>
      <c r="C12" s="29">
        <v>342.90000000000003</v>
      </c>
    </row>
    <row r="13" spans="1:3" x14ac:dyDescent="0.25">
      <c r="A13" s="32" t="s">
        <v>368</v>
      </c>
      <c r="B13" s="29">
        <v>1956.2000000000003</v>
      </c>
      <c r="C13" s="29">
        <v>1956.2000000000003</v>
      </c>
    </row>
    <row r="14" spans="1:3" x14ac:dyDescent="0.25">
      <c r="A14" s="32" t="s">
        <v>369</v>
      </c>
      <c r="B14" s="29">
        <v>654.64</v>
      </c>
      <c r="C14" s="29">
        <v>654.64</v>
      </c>
    </row>
    <row r="15" spans="1:3" x14ac:dyDescent="0.25">
      <c r="A15" s="51" t="s">
        <v>347</v>
      </c>
      <c r="B15" s="29">
        <v>8213.9044999999987</v>
      </c>
      <c r="C15" s="29">
        <v>8213.9044999999987</v>
      </c>
    </row>
    <row r="29" spans="1:1" x14ac:dyDescent="0.25">
      <c r="A29" s="27" t="s">
        <v>348</v>
      </c>
    </row>
    <row r="30" spans="1:1" x14ac:dyDescent="0.25">
      <c r="A30" s="23" t="s">
        <v>377</v>
      </c>
    </row>
    <row r="31" spans="1:1" x14ac:dyDescent="0.25">
      <c r="A31" s="23" t="s">
        <v>375</v>
      </c>
    </row>
    <row r="32" spans="1:1" x14ac:dyDescent="0.25">
      <c r="A32" s="23" t="s">
        <v>376</v>
      </c>
    </row>
  </sheetData>
  <pageMargins left="0.511811024" right="0.511811024" top="0.78740157499999996" bottom="0.78740157499999996" header="0.31496062000000002" footer="0.31496062000000002"/>
  <drawing r:id="rId2"/>
  <extLst>
    <ext xmlns:x15="http://schemas.microsoft.com/office/spreadsheetml/2010/11/main" uri="{7E03D99C-DC04-49d9-9315-930204A7B6E9}">
      <x15:timelineRefs>
        <x15:timelineRef r:id="rId3"/>
      </x15:timelineRef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01"/>
  <sheetViews>
    <sheetView workbookViewId="0">
      <pane ySplit="1" topLeftCell="A2" activePane="bottomLeft" state="frozen"/>
      <selection pane="bottomLeft" activeCell="G11" sqref="G11"/>
    </sheetView>
  </sheetViews>
  <sheetFormatPr defaultRowHeight="15" x14ac:dyDescent="0.25"/>
  <cols>
    <col min="1" max="1" width="5.28515625" customWidth="1"/>
    <col min="2" max="2" width="14" customWidth="1"/>
    <col min="3" max="3" width="28" customWidth="1"/>
    <col min="4" max="5" width="14" customWidth="1"/>
    <col min="6" max="6" width="14.85546875" customWidth="1"/>
    <col min="7" max="7" width="19.140625" customWidth="1"/>
    <col min="8" max="8" width="17.5703125" customWidth="1"/>
    <col min="9" max="9" width="14" customWidth="1"/>
    <col min="10" max="10" width="16" customWidth="1"/>
    <col min="11" max="11" width="14" customWidth="1"/>
    <col min="12" max="12" width="12" customWidth="1"/>
    <col min="13" max="13" width="13.140625" customWidth="1"/>
    <col min="14" max="14" width="8" customWidth="1"/>
  </cols>
  <sheetData>
    <row r="1" spans="1:14" ht="30" customHeight="1" x14ac:dyDescent="0.25">
      <c r="A1" s="13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5" t="s">
        <v>13</v>
      </c>
    </row>
    <row r="2" spans="1:14" x14ac:dyDescent="0.25">
      <c r="A2" s="11">
        <v>190</v>
      </c>
      <c r="B2" s="1" t="s">
        <v>14</v>
      </c>
      <c r="C2" s="2" t="s">
        <v>15</v>
      </c>
      <c r="D2" s="1" t="s">
        <v>16</v>
      </c>
      <c r="E2" s="1" t="s">
        <v>17</v>
      </c>
      <c r="F2" s="1">
        <v>28</v>
      </c>
      <c r="G2" s="3">
        <v>3.9</v>
      </c>
      <c r="H2" s="3">
        <v>10.92</v>
      </c>
      <c r="I2" s="3">
        <v>98.28</v>
      </c>
      <c r="J2" s="2" t="s">
        <v>18</v>
      </c>
      <c r="K2" s="2" t="s">
        <v>19</v>
      </c>
      <c r="L2" s="1" t="s">
        <v>20</v>
      </c>
      <c r="M2" s="1">
        <v>1</v>
      </c>
      <c r="N2" s="12">
        <v>2024</v>
      </c>
    </row>
    <row r="3" spans="1:14" ht="25.5" x14ac:dyDescent="0.25">
      <c r="A3" s="11">
        <v>10</v>
      </c>
      <c r="B3" s="1" t="s">
        <v>21</v>
      </c>
      <c r="C3" s="2" t="s">
        <v>22</v>
      </c>
      <c r="D3" s="1" t="s">
        <v>23</v>
      </c>
      <c r="E3" s="1" t="s">
        <v>24</v>
      </c>
      <c r="F3" s="1">
        <v>30</v>
      </c>
      <c r="G3" s="3">
        <v>2.9</v>
      </c>
      <c r="H3" s="3">
        <v>4.3499999999999996</v>
      </c>
      <c r="I3" s="3">
        <v>82.65</v>
      </c>
      <c r="J3" s="2" t="s">
        <v>25</v>
      </c>
      <c r="K3" s="2" t="s">
        <v>26</v>
      </c>
      <c r="L3" s="1" t="s">
        <v>27</v>
      </c>
      <c r="M3" s="1">
        <v>10</v>
      </c>
      <c r="N3" s="12">
        <v>2024</v>
      </c>
    </row>
    <row r="4" spans="1:14" ht="25.5" x14ac:dyDescent="0.25">
      <c r="A4" s="11">
        <v>88</v>
      </c>
      <c r="B4" s="1" t="s">
        <v>21</v>
      </c>
      <c r="C4" s="2" t="s">
        <v>28</v>
      </c>
      <c r="D4" s="1" t="s">
        <v>29</v>
      </c>
      <c r="E4" s="1" t="s">
        <v>30</v>
      </c>
      <c r="F4" s="1">
        <v>1</v>
      </c>
      <c r="G4" s="3">
        <v>5.9</v>
      </c>
      <c r="H4" s="3">
        <v>0</v>
      </c>
      <c r="I4" s="3">
        <v>5.9</v>
      </c>
      <c r="J4" s="2" t="s">
        <v>31</v>
      </c>
      <c r="K4" s="2" t="s">
        <v>32</v>
      </c>
      <c r="L4" s="1" t="s">
        <v>27</v>
      </c>
      <c r="M4" s="1">
        <v>10</v>
      </c>
      <c r="N4" s="12">
        <v>2024</v>
      </c>
    </row>
    <row r="5" spans="1:14" ht="25.5" x14ac:dyDescent="0.25">
      <c r="A5" s="11">
        <v>108</v>
      </c>
      <c r="B5" s="1" t="s">
        <v>33</v>
      </c>
      <c r="C5" s="2" t="s">
        <v>34</v>
      </c>
      <c r="D5" s="1" t="s">
        <v>35</v>
      </c>
      <c r="E5" s="1" t="s">
        <v>36</v>
      </c>
      <c r="F5" s="1">
        <v>1</v>
      </c>
      <c r="G5" s="3">
        <v>14.9</v>
      </c>
      <c r="H5" s="3">
        <v>0</v>
      </c>
      <c r="I5" s="3">
        <v>14.9</v>
      </c>
      <c r="J5" s="2" t="s">
        <v>18</v>
      </c>
      <c r="K5" s="2" t="s">
        <v>32</v>
      </c>
      <c r="L5" s="1" t="s">
        <v>37</v>
      </c>
      <c r="M5" s="1">
        <v>12</v>
      </c>
      <c r="N5" s="12">
        <v>2024</v>
      </c>
    </row>
    <row r="6" spans="1:14" ht="25.5" x14ac:dyDescent="0.25">
      <c r="A6" s="11">
        <v>243</v>
      </c>
      <c r="B6" s="1" t="s">
        <v>38</v>
      </c>
      <c r="C6" s="2" t="s">
        <v>39</v>
      </c>
      <c r="D6" s="1" t="s">
        <v>16</v>
      </c>
      <c r="E6" s="1" t="s">
        <v>30</v>
      </c>
      <c r="F6" s="1">
        <v>27</v>
      </c>
      <c r="G6" s="3">
        <v>12.9</v>
      </c>
      <c r="H6" s="3">
        <v>17.41</v>
      </c>
      <c r="I6" s="3">
        <v>330.89</v>
      </c>
      <c r="J6" s="2" t="s">
        <v>40</v>
      </c>
      <c r="K6" s="2" t="s">
        <v>19</v>
      </c>
      <c r="L6" s="1" t="s">
        <v>41</v>
      </c>
      <c r="M6" s="1">
        <v>2</v>
      </c>
      <c r="N6" s="12">
        <v>2024</v>
      </c>
    </row>
    <row r="7" spans="1:14" x14ac:dyDescent="0.25">
      <c r="A7" s="11">
        <v>295</v>
      </c>
      <c r="B7" s="1" t="s">
        <v>42</v>
      </c>
      <c r="C7" s="2" t="s">
        <v>43</v>
      </c>
      <c r="D7" s="1" t="s">
        <v>23</v>
      </c>
      <c r="E7" s="1" t="s">
        <v>44</v>
      </c>
      <c r="F7" s="1">
        <v>16</v>
      </c>
      <c r="G7" s="3">
        <v>12.9</v>
      </c>
      <c r="H7" s="3">
        <v>10.32</v>
      </c>
      <c r="I7" s="3">
        <v>196.08</v>
      </c>
      <c r="J7" s="2" t="s">
        <v>45</v>
      </c>
      <c r="K7" s="2" t="s">
        <v>32</v>
      </c>
      <c r="L7" s="1" t="s">
        <v>46</v>
      </c>
      <c r="M7" s="1">
        <v>3</v>
      </c>
      <c r="N7" s="12">
        <v>2024</v>
      </c>
    </row>
    <row r="8" spans="1:14" x14ac:dyDescent="0.25">
      <c r="A8" s="11">
        <v>132</v>
      </c>
      <c r="B8" s="1" t="s">
        <v>47</v>
      </c>
      <c r="C8" s="2" t="s">
        <v>48</v>
      </c>
      <c r="D8" s="1" t="s">
        <v>23</v>
      </c>
      <c r="E8" s="1" t="s">
        <v>49</v>
      </c>
      <c r="F8" s="1">
        <v>16</v>
      </c>
      <c r="G8" s="3">
        <v>18.899999999999999</v>
      </c>
      <c r="H8" s="3">
        <v>0</v>
      </c>
      <c r="I8" s="3">
        <v>302.39999999999998</v>
      </c>
      <c r="J8" s="2" t="s">
        <v>50</v>
      </c>
      <c r="K8" s="2" t="s">
        <v>32</v>
      </c>
      <c r="L8" s="1" t="s">
        <v>51</v>
      </c>
      <c r="M8" s="1">
        <v>5</v>
      </c>
      <c r="N8" s="12">
        <v>2024</v>
      </c>
    </row>
    <row r="9" spans="1:14" x14ac:dyDescent="0.25">
      <c r="A9" s="11">
        <v>70</v>
      </c>
      <c r="B9" s="1" t="s">
        <v>52</v>
      </c>
      <c r="C9" s="2" t="s">
        <v>15</v>
      </c>
      <c r="D9" s="1" t="s">
        <v>16</v>
      </c>
      <c r="E9" s="1" t="s">
        <v>17</v>
      </c>
      <c r="F9" s="1">
        <v>4</v>
      </c>
      <c r="G9" s="3">
        <v>3.9</v>
      </c>
      <c r="H9" s="3">
        <v>0</v>
      </c>
      <c r="I9" s="3">
        <v>15.6</v>
      </c>
      <c r="J9" s="2" t="s">
        <v>31</v>
      </c>
      <c r="K9" s="2" t="s">
        <v>32</v>
      </c>
      <c r="L9" s="1" t="s">
        <v>53</v>
      </c>
      <c r="M9" s="1">
        <v>6</v>
      </c>
      <c r="N9" s="12">
        <v>2024</v>
      </c>
    </row>
    <row r="10" spans="1:14" x14ac:dyDescent="0.25">
      <c r="A10" s="11">
        <v>286</v>
      </c>
      <c r="B10" s="1" t="s">
        <v>54</v>
      </c>
      <c r="C10" s="2" t="s">
        <v>55</v>
      </c>
      <c r="D10" s="1" t="s">
        <v>56</v>
      </c>
      <c r="E10" s="1" t="s">
        <v>57</v>
      </c>
      <c r="F10" s="1">
        <v>11</v>
      </c>
      <c r="G10" s="3">
        <v>22.9</v>
      </c>
      <c r="H10" s="3">
        <v>0</v>
      </c>
      <c r="I10" s="3">
        <v>251.9</v>
      </c>
      <c r="J10" s="2" t="s">
        <v>31</v>
      </c>
      <c r="K10" s="2" t="s">
        <v>19</v>
      </c>
      <c r="L10" s="1" t="s">
        <v>58</v>
      </c>
      <c r="M10" s="1">
        <v>8</v>
      </c>
      <c r="N10" s="12">
        <v>2024</v>
      </c>
    </row>
    <row r="11" spans="1:14" ht="25.5" x14ac:dyDescent="0.25">
      <c r="A11" s="11">
        <v>22</v>
      </c>
      <c r="B11" s="1" t="s">
        <v>59</v>
      </c>
      <c r="C11" s="2" t="s">
        <v>60</v>
      </c>
      <c r="D11" s="1" t="s">
        <v>61</v>
      </c>
      <c r="E11" s="1" t="s">
        <v>62</v>
      </c>
      <c r="F11" s="1">
        <v>24</v>
      </c>
      <c r="G11" s="3">
        <v>12.9</v>
      </c>
      <c r="H11" s="3">
        <v>30.96</v>
      </c>
      <c r="I11" s="3">
        <v>278.64</v>
      </c>
      <c r="J11" s="2" t="s">
        <v>18</v>
      </c>
      <c r="K11" s="2" t="s">
        <v>26</v>
      </c>
      <c r="L11" s="1" t="s">
        <v>27</v>
      </c>
      <c r="M11" s="1">
        <v>10</v>
      </c>
      <c r="N11" s="12">
        <v>2024</v>
      </c>
    </row>
    <row r="12" spans="1:14" ht="25.5" x14ac:dyDescent="0.25">
      <c r="A12" s="11">
        <v>181</v>
      </c>
      <c r="B12" s="1" t="s">
        <v>63</v>
      </c>
      <c r="C12" s="2" t="s">
        <v>64</v>
      </c>
      <c r="D12" s="1" t="s">
        <v>23</v>
      </c>
      <c r="E12" s="1" t="s">
        <v>24</v>
      </c>
      <c r="F12" s="1">
        <v>29</v>
      </c>
      <c r="G12" s="3">
        <v>9.1999999999999993</v>
      </c>
      <c r="H12" s="3">
        <v>13.34</v>
      </c>
      <c r="I12" s="3">
        <v>253.46</v>
      </c>
      <c r="J12" s="2" t="s">
        <v>40</v>
      </c>
      <c r="K12" s="2" t="s">
        <v>19</v>
      </c>
      <c r="L12" s="1" t="s">
        <v>65</v>
      </c>
      <c r="M12" s="1">
        <v>11</v>
      </c>
      <c r="N12" s="12">
        <v>2024</v>
      </c>
    </row>
    <row r="13" spans="1:14" ht="25.5" x14ac:dyDescent="0.25">
      <c r="A13" s="11">
        <v>284</v>
      </c>
      <c r="B13" s="1" t="s">
        <v>66</v>
      </c>
      <c r="C13" s="2" t="s">
        <v>67</v>
      </c>
      <c r="D13" s="1" t="s">
        <v>68</v>
      </c>
      <c r="E13" s="1" t="s">
        <v>49</v>
      </c>
      <c r="F13" s="1">
        <v>3</v>
      </c>
      <c r="G13" s="3">
        <v>8.9</v>
      </c>
      <c r="H13" s="3">
        <v>0</v>
      </c>
      <c r="I13" s="3">
        <v>26.7</v>
      </c>
      <c r="J13" s="2" t="s">
        <v>40</v>
      </c>
      <c r="K13" s="2" t="s">
        <v>26</v>
      </c>
      <c r="L13" s="1" t="s">
        <v>37</v>
      </c>
      <c r="M13" s="1">
        <v>12</v>
      </c>
      <c r="N13" s="12">
        <v>2024</v>
      </c>
    </row>
    <row r="14" spans="1:14" x14ac:dyDescent="0.25">
      <c r="A14" s="11">
        <v>147</v>
      </c>
      <c r="B14" s="1" t="s">
        <v>69</v>
      </c>
      <c r="C14" s="2" t="s">
        <v>70</v>
      </c>
      <c r="D14" s="1" t="s">
        <v>56</v>
      </c>
      <c r="E14" s="1" t="s">
        <v>57</v>
      </c>
      <c r="F14" s="1">
        <v>7</v>
      </c>
      <c r="G14" s="3">
        <v>32.9</v>
      </c>
      <c r="H14" s="3">
        <v>0</v>
      </c>
      <c r="I14" s="3">
        <v>230.3</v>
      </c>
      <c r="J14" s="2" t="s">
        <v>31</v>
      </c>
      <c r="K14" s="2" t="s">
        <v>19</v>
      </c>
      <c r="L14" s="1" t="s">
        <v>71</v>
      </c>
      <c r="M14" s="1">
        <v>4</v>
      </c>
      <c r="N14" s="12">
        <v>2024</v>
      </c>
    </row>
    <row r="15" spans="1:14" x14ac:dyDescent="0.25">
      <c r="A15" s="11">
        <v>34</v>
      </c>
      <c r="B15" s="1" t="s">
        <v>72</v>
      </c>
      <c r="C15" s="2" t="s">
        <v>73</v>
      </c>
      <c r="D15" s="1" t="s">
        <v>74</v>
      </c>
      <c r="E15" s="1" t="s">
        <v>17</v>
      </c>
      <c r="F15" s="1">
        <v>3</v>
      </c>
      <c r="G15" s="3">
        <v>2.9</v>
      </c>
      <c r="H15" s="3">
        <v>0</v>
      </c>
      <c r="I15" s="3">
        <v>8.6999999999999993</v>
      </c>
      <c r="J15" s="2" t="s">
        <v>40</v>
      </c>
      <c r="K15" s="2" t="s">
        <v>19</v>
      </c>
      <c r="L15" s="1" t="s">
        <v>51</v>
      </c>
      <c r="M15" s="1">
        <v>5</v>
      </c>
      <c r="N15" s="12">
        <v>2024</v>
      </c>
    </row>
    <row r="16" spans="1:14" x14ac:dyDescent="0.25">
      <c r="A16" s="11">
        <v>99</v>
      </c>
      <c r="B16" s="1" t="s">
        <v>75</v>
      </c>
      <c r="C16" s="2" t="s">
        <v>67</v>
      </c>
      <c r="D16" s="1" t="s">
        <v>68</v>
      </c>
      <c r="E16" s="1" t="s">
        <v>49</v>
      </c>
      <c r="F16" s="1">
        <v>18</v>
      </c>
      <c r="G16" s="3">
        <v>8.9</v>
      </c>
      <c r="H16" s="3">
        <v>0</v>
      </c>
      <c r="I16" s="3">
        <v>160.19999999999999</v>
      </c>
      <c r="J16" s="2" t="s">
        <v>31</v>
      </c>
      <c r="K16" s="2" t="s">
        <v>19</v>
      </c>
      <c r="L16" s="1" t="s">
        <v>53</v>
      </c>
      <c r="M16" s="1">
        <v>6</v>
      </c>
      <c r="N16" s="12">
        <v>2024</v>
      </c>
    </row>
    <row r="17" spans="1:14" x14ac:dyDescent="0.25">
      <c r="A17" s="11">
        <v>260</v>
      </c>
      <c r="B17" s="1" t="s">
        <v>76</v>
      </c>
      <c r="C17" s="2" t="s">
        <v>77</v>
      </c>
      <c r="D17" s="1" t="s">
        <v>74</v>
      </c>
      <c r="E17" s="1" t="s">
        <v>57</v>
      </c>
      <c r="F17" s="1">
        <v>4</v>
      </c>
      <c r="G17" s="3">
        <v>3.9</v>
      </c>
      <c r="H17" s="3">
        <v>0</v>
      </c>
      <c r="I17" s="3">
        <v>15.6</v>
      </c>
      <c r="J17" s="2" t="s">
        <v>18</v>
      </c>
      <c r="K17" s="2" t="s">
        <v>19</v>
      </c>
      <c r="L17" s="1" t="s">
        <v>58</v>
      </c>
      <c r="M17" s="1">
        <v>8</v>
      </c>
      <c r="N17" s="12">
        <v>2024</v>
      </c>
    </row>
    <row r="18" spans="1:14" ht="25.5" x14ac:dyDescent="0.25">
      <c r="A18" s="11">
        <v>235</v>
      </c>
      <c r="B18" s="1" t="s">
        <v>78</v>
      </c>
      <c r="C18" s="2" t="s">
        <v>79</v>
      </c>
      <c r="D18" s="1" t="s">
        <v>29</v>
      </c>
      <c r="E18" s="1" t="s">
        <v>80</v>
      </c>
      <c r="F18" s="1">
        <v>17</v>
      </c>
      <c r="G18" s="3">
        <v>7.9</v>
      </c>
      <c r="H18" s="3">
        <v>13.43</v>
      </c>
      <c r="I18" s="3">
        <v>120.87</v>
      </c>
      <c r="J18" s="2" t="s">
        <v>31</v>
      </c>
      <c r="K18" s="2" t="s">
        <v>32</v>
      </c>
      <c r="L18" s="1" t="s">
        <v>27</v>
      </c>
      <c r="M18" s="1">
        <v>10</v>
      </c>
      <c r="N18" s="12">
        <v>2024</v>
      </c>
    </row>
    <row r="19" spans="1:14" ht="25.5" x14ac:dyDescent="0.25">
      <c r="A19" s="11">
        <v>257</v>
      </c>
      <c r="B19" s="1" t="s">
        <v>78</v>
      </c>
      <c r="C19" s="2" t="s">
        <v>60</v>
      </c>
      <c r="D19" s="1" t="s">
        <v>61</v>
      </c>
      <c r="E19" s="1" t="s">
        <v>62</v>
      </c>
      <c r="F19" s="1">
        <v>26</v>
      </c>
      <c r="G19" s="3">
        <v>12.9</v>
      </c>
      <c r="H19" s="3">
        <v>0</v>
      </c>
      <c r="I19" s="3">
        <v>335.4</v>
      </c>
      <c r="J19" s="2" t="s">
        <v>25</v>
      </c>
      <c r="K19" s="2" t="s">
        <v>26</v>
      </c>
      <c r="L19" s="1" t="s">
        <v>27</v>
      </c>
      <c r="M19" s="1">
        <v>10</v>
      </c>
      <c r="N19" s="12">
        <v>2024</v>
      </c>
    </row>
    <row r="20" spans="1:14" ht="25.5" x14ac:dyDescent="0.25">
      <c r="A20" s="11">
        <v>231</v>
      </c>
      <c r="B20" s="1" t="s">
        <v>81</v>
      </c>
      <c r="C20" s="2" t="s">
        <v>82</v>
      </c>
      <c r="D20" s="1" t="s">
        <v>35</v>
      </c>
      <c r="E20" s="1" t="s">
        <v>36</v>
      </c>
      <c r="F20" s="1">
        <v>27</v>
      </c>
      <c r="G20" s="3">
        <v>14.9</v>
      </c>
      <c r="H20" s="3">
        <v>0</v>
      </c>
      <c r="I20" s="3">
        <v>402.3</v>
      </c>
      <c r="J20" s="2" t="s">
        <v>40</v>
      </c>
      <c r="K20" s="2" t="s">
        <v>32</v>
      </c>
      <c r="L20" s="1" t="s">
        <v>37</v>
      </c>
      <c r="M20" s="1">
        <v>12</v>
      </c>
      <c r="N20" s="12">
        <v>2024</v>
      </c>
    </row>
    <row r="21" spans="1:14" x14ac:dyDescent="0.25">
      <c r="A21" s="11">
        <v>179</v>
      </c>
      <c r="B21" s="1" t="s">
        <v>83</v>
      </c>
      <c r="C21" s="2" t="s">
        <v>55</v>
      </c>
      <c r="D21" s="1" t="s">
        <v>56</v>
      </c>
      <c r="E21" s="1" t="s">
        <v>57</v>
      </c>
      <c r="F21" s="1">
        <v>23</v>
      </c>
      <c r="G21" s="3">
        <v>22.9</v>
      </c>
      <c r="H21" s="3">
        <v>0</v>
      </c>
      <c r="I21" s="3">
        <v>526.70000000000005</v>
      </c>
      <c r="J21" s="2" t="s">
        <v>40</v>
      </c>
      <c r="K21" s="2" t="s">
        <v>19</v>
      </c>
      <c r="L21" s="1" t="s">
        <v>46</v>
      </c>
      <c r="M21" s="1">
        <v>3</v>
      </c>
      <c r="N21" s="12">
        <v>2024</v>
      </c>
    </row>
    <row r="22" spans="1:14" x14ac:dyDescent="0.25">
      <c r="A22" s="11">
        <v>166</v>
      </c>
      <c r="B22" s="1" t="s">
        <v>84</v>
      </c>
      <c r="C22" s="2" t="s">
        <v>85</v>
      </c>
      <c r="D22" s="1" t="s">
        <v>23</v>
      </c>
      <c r="E22" s="1" t="s">
        <v>86</v>
      </c>
      <c r="F22" s="1">
        <v>8</v>
      </c>
      <c r="G22" s="3">
        <v>7.9</v>
      </c>
      <c r="H22" s="3">
        <v>0</v>
      </c>
      <c r="I22" s="3">
        <v>63.2</v>
      </c>
      <c r="J22" s="2" t="s">
        <v>50</v>
      </c>
      <c r="K22" s="2" t="s">
        <v>19</v>
      </c>
      <c r="L22" s="1" t="s">
        <v>53</v>
      </c>
      <c r="M22" s="1">
        <v>6</v>
      </c>
      <c r="N22" s="12">
        <v>2024</v>
      </c>
    </row>
    <row r="23" spans="1:14" x14ac:dyDescent="0.25">
      <c r="A23" s="11">
        <v>245</v>
      </c>
      <c r="B23" s="1" t="s">
        <v>84</v>
      </c>
      <c r="C23" s="2" t="s">
        <v>70</v>
      </c>
      <c r="D23" s="1" t="s">
        <v>56</v>
      </c>
      <c r="E23" s="1" t="s">
        <v>57</v>
      </c>
      <c r="F23" s="1">
        <v>4</v>
      </c>
      <c r="G23" s="3">
        <v>32.9</v>
      </c>
      <c r="H23" s="3">
        <v>0</v>
      </c>
      <c r="I23" s="3">
        <v>131.6</v>
      </c>
      <c r="J23" s="2" t="s">
        <v>45</v>
      </c>
      <c r="K23" s="2" t="s">
        <v>26</v>
      </c>
      <c r="L23" s="1" t="s">
        <v>53</v>
      </c>
      <c r="M23" s="1">
        <v>6</v>
      </c>
      <c r="N23" s="12">
        <v>2024</v>
      </c>
    </row>
    <row r="24" spans="1:14" x14ac:dyDescent="0.25">
      <c r="A24" s="11">
        <v>261</v>
      </c>
      <c r="B24" s="1" t="s">
        <v>87</v>
      </c>
      <c r="C24" s="2" t="s">
        <v>88</v>
      </c>
      <c r="D24" s="1" t="s">
        <v>56</v>
      </c>
      <c r="E24" s="1" t="s">
        <v>57</v>
      </c>
      <c r="F24" s="1">
        <v>19</v>
      </c>
      <c r="G24" s="3">
        <v>24.9</v>
      </c>
      <c r="H24" s="3">
        <v>0</v>
      </c>
      <c r="I24" s="3">
        <v>473.1</v>
      </c>
      <c r="J24" s="2" t="s">
        <v>18</v>
      </c>
      <c r="K24" s="2" t="s">
        <v>26</v>
      </c>
      <c r="L24" s="1" t="s">
        <v>89</v>
      </c>
      <c r="M24" s="1">
        <v>7</v>
      </c>
      <c r="N24" s="12">
        <v>2024</v>
      </c>
    </row>
    <row r="25" spans="1:14" x14ac:dyDescent="0.25">
      <c r="A25" s="11">
        <v>3</v>
      </c>
      <c r="B25" s="1" t="s">
        <v>90</v>
      </c>
      <c r="C25" s="2" t="s">
        <v>64</v>
      </c>
      <c r="D25" s="1" t="s">
        <v>23</v>
      </c>
      <c r="E25" s="1" t="s">
        <v>24</v>
      </c>
      <c r="F25" s="1">
        <v>1</v>
      </c>
      <c r="G25" s="3">
        <v>9.1999999999999993</v>
      </c>
      <c r="H25" s="3">
        <v>0</v>
      </c>
      <c r="I25" s="3">
        <v>9.1999999999999993</v>
      </c>
      <c r="J25" s="2" t="s">
        <v>45</v>
      </c>
      <c r="K25" s="2" t="s">
        <v>32</v>
      </c>
      <c r="L25" s="1" t="s">
        <v>58</v>
      </c>
      <c r="M25" s="1">
        <v>8</v>
      </c>
      <c r="N25" s="12">
        <v>2024</v>
      </c>
    </row>
    <row r="26" spans="1:14" x14ac:dyDescent="0.25">
      <c r="A26" s="11">
        <v>7</v>
      </c>
      <c r="B26" s="1" t="s">
        <v>90</v>
      </c>
      <c r="C26" s="2" t="s">
        <v>28</v>
      </c>
      <c r="D26" s="1" t="s">
        <v>29</v>
      </c>
      <c r="E26" s="1" t="s">
        <v>30</v>
      </c>
      <c r="F26" s="1">
        <v>9</v>
      </c>
      <c r="G26" s="3">
        <v>5.9</v>
      </c>
      <c r="H26" s="3">
        <v>0</v>
      </c>
      <c r="I26" s="3">
        <v>53.1</v>
      </c>
      <c r="J26" s="2" t="s">
        <v>45</v>
      </c>
      <c r="K26" s="2" t="s">
        <v>19</v>
      </c>
      <c r="L26" s="1" t="s">
        <v>58</v>
      </c>
      <c r="M26" s="1">
        <v>8</v>
      </c>
      <c r="N26" s="12">
        <v>2024</v>
      </c>
    </row>
    <row r="27" spans="1:14" x14ac:dyDescent="0.25">
      <c r="A27" s="11">
        <v>37</v>
      </c>
      <c r="B27" s="1" t="s">
        <v>90</v>
      </c>
      <c r="C27" s="2" t="s">
        <v>91</v>
      </c>
      <c r="D27" s="1" t="s">
        <v>61</v>
      </c>
      <c r="E27" s="1" t="s">
        <v>30</v>
      </c>
      <c r="F27" s="1">
        <v>30</v>
      </c>
      <c r="G27" s="3">
        <v>4.5</v>
      </c>
      <c r="H27" s="3">
        <v>13.5</v>
      </c>
      <c r="I27" s="3">
        <v>121.5</v>
      </c>
      <c r="J27" s="2" t="s">
        <v>40</v>
      </c>
      <c r="K27" s="2" t="s">
        <v>26</v>
      </c>
      <c r="L27" s="1" t="s">
        <v>58</v>
      </c>
      <c r="M27" s="1">
        <v>8</v>
      </c>
      <c r="N27" s="12">
        <v>2024</v>
      </c>
    </row>
    <row r="28" spans="1:14" x14ac:dyDescent="0.25">
      <c r="A28" s="11">
        <v>222</v>
      </c>
      <c r="B28" s="1" t="s">
        <v>92</v>
      </c>
      <c r="C28" s="2" t="s">
        <v>55</v>
      </c>
      <c r="D28" s="1" t="s">
        <v>56</v>
      </c>
      <c r="E28" s="1" t="s">
        <v>57</v>
      </c>
      <c r="F28" s="1">
        <v>29</v>
      </c>
      <c r="G28" s="3">
        <v>22.9</v>
      </c>
      <c r="H28" s="3">
        <v>0</v>
      </c>
      <c r="I28" s="3">
        <v>664.1</v>
      </c>
      <c r="J28" s="2" t="s">
        <v>40</v>
      </c>
      <c r="K28" s="2" t="s">
        <v>26</v>
      </c>
      <c r="L28" s="1" t="s">
        <v>20</v>
      </c>
      <c r="M28" s="1">
        <v>1</v>
      </c>
      <c r="N28" s="12">
        <v>2024</v>
      </c>
    </row>
    <row r="29" spans="1:14" ht="25.5" x14ac:dyDescent="0.25">
      <c r="A29" s="11">
        <v>35</v>
      </c>
      <c r="B29" s="1" t="s">
        <v>93</v>
      </c>
      <c r="C29" s="2" t="s">
        <v>94</v>
      </c>
      <c r="D29" s="1" t="s">
        <v>35</v>
      </c>
      <c r="E29" s="1" t="s">
        <v>95</v>
      </c>
      <c r="F29" s="1">
        <v>18</v>
      </c>
      <c r="G29" s="3">
        <v>19.899999999999999</v>
      </c>
      <c r="H29" s="3">
        <v>0</v>
      </c>
      <c r="I29" s="3">
        <v>358.2</v>
      </c>
      <c r="J29" s="2" t="s">
        <v>45</v>
      </c>
      <c r="K29" s="2" t="s">
        <v>26</v>
      </c>
      <c r="L29" s="1" t="s">
        <v>41</v>
      </c>
      <c r="M29" s="1">
        <v>2</v>
      </c>
      <c r="N29" s="12">
        <v>2024</v>
      </c>
    </row>
    <row r="30" spans="1:14" ht="25.5" x14ac:dyDescent="0.25">
      <c r="A30" s="11">
        <v>87</v>
      </c>
      <c r="B30" s="1" t="s">
        <v>93</v>
      </c>
      <c r="C30" s="2" t="s">
        <v>96</v>
      </c>
      <c r="D30" s="1" t="s">
        <v>61</v>
      </c>
      <c r="E30" s="1" t="s">
        <v>62</v>
      </c>
      <c r="F30" s="1">
        <v>12</v>
      </c>
      <c r="G30" s="3">
        <v>9.9</v>
      </c>
      <c r="H30" s="3">
        <v>11.88</v>
      </c>
      <c r="I30" s="3">
        <v>106.92</v>
      </c>
      <c r="J30" s="2" t="s">
        <v>18</v>
      </c>
      <c r="K30" s="2" t="s">
        <v>26</v>
      </c>
      <c r="L30" s="1" t="s">
        <v>41</v>
      </c>
      <c r="M30" s="1">
        <v>2</v>
      </c>
      <c r="N30" s="12">
        <v>2024</v>
      </c>
    </row>
    <row r="31" spans="1:14" ht="25.5" x14ac:dyDescent="0.25">
      <c r="A31" s="11">
        <v>94</v>
      </c>
      <c r="B31" s="1" t="s">
        <v>93</v>
      </c>
      <c r="C31" s="2" t="s">
        <v>15</v>
      </c>
      <c r="D31" s="1" t="s">
        <v>16</v>
      </c>
      <c r="E31" s="1" t="s">
        <v>17</v>
      </c>
      <c r="F31" s="1">
        <v>30</v>
      </c>
      <c r="G31" s="3">
        <v>3.9</v>
      </c>
      <c r="H31" s="3">
        <v>0</v>
      </c>
      <c r="I31" s="3">
        <v>117</v>
      </c>
      <c r="J31" s="2" t="s">
        <v>50</v>
      </c>
      <c r="K31" s="2" t="s">
        <v>19</v>
      </c>
      <c r="L31" s="1" t="s">
        <v>41</v>
      </c>
      <c r="M31" s="1">
        <v>2</v>
      </c>
      <c r="N31" s="12">
        <v>2024</v>
      </c>
    </row>
    <row r="32" spans="1:14" x14ac:dyDescent="0.25">
      <c r="A32" s="11">
        <v>208</v>
      </c>
      <c r="B32" s="1" t="s">
        <v>97</v>
      </c>
      <c r="C32" s="2" t="s">
        <v>88</v>
      </c>
      <c r="D32" s="1" t="s">
        <v>56</v>
      </c>
      <c r="E32" s="1" t="s">
        <v>57</v>
      </c>
      <c r="F32" s="1">
        <v>19</v>
      </c>
      <c r="G32" s="3">
        <v>24.9</v>
      </c>
      <c r="H32" s="3">
        <v>0</v>
      </c>
      <c r="I32" s="3">
        <v>473.1</v>
      </c>
      <c r="J32" s="2" t="s">
        <v>25</v>
      </c>
      <c r="K32" s="2" t="s">
        <v>19</v>
      </c>
      <c r="L32" s="1" t="s">
        <v>46</v>
      </c>
      <c r="M32" s="1">
        <v>3</v>
      </c>
      <c r="N32" s="12">
        <v>2024</v>
      </c>
    </row>
    <row r="33" spans="1:14" x14ac:dyDescent="0.25">
      <c r="A33" s="11">
        <v>218</v>
      </c>
      <c r="B33" s="1" t="s">
        <v>98</v>
      </c>
      <c r="C33" s="2" t="s">
        <v>77</v>
      </c>
      <c r="D33" s="1" t="s">
        <v>74</v>
      </c>
      <c r="E33" s="1" t="s">
        <v>57</v>
      </c>
      <c r="F33" s="1">
        <v>14</v>
      </c>
      <c r="G33" s="3">
        <v>3.9</v>
      </c>
      <c r="H33" s="3">
        <v>5.46</v>
      </c>
      <c r="I33" s="3">
        <v>49.14</v>
      </c>
      <c r="J33" s="2" t="s">
        <v>40</v>
      </c>
      <c r="K33" s="2" t="s">
        <v>32</v>
      </c>
      <c r="L33" s="1" t="s">
        <v>51</v>
      </c>
      <c r="M33" s="1">
        <v>5</v>
      </c>
      <c r="N33" s="12">
        <v>2024</v>
      </c>
    </row>
    <row r="34" spans="1:14" x14ac:dyDescent="0.25">
      <c r="A34" s="11">
        <v>14</v>
      </c>
      <c r="B34" s="1" t="s">
        <v>99</v>
      </c>
      <c r="C34" s="2" t="s">
        <v>100</v>
      </c>
      <c r="D34" s="1" t="s">
        <v>23</v>
      </c>
      <c r="E34" s="1" t="s">
        <v>101</v>
      </c>
      <c r="F34" s="1">
        <v>12</v>
      </c>
      <c r="G34" s="3">
        <v>5.9</v>
      </c>
      <c r="H34" s="3">
        <v>0</v>
      </c>
      <c r="I34" s="3">
        <v>70.8</v>
      </c>
      <c r="J34" s="2" t="s">
        <v>45</v>
      </c>
      <c r="K34" s="2" t="s">
        <v>26</v>
      </c>
      <c r="L34" s="1" t="s">
        <v>89</v>
      </c>
      <c r="M34" s="1">
        <v>7</v>
      </c>
      <c r="N34" s="12">
        <v>2024</v>
      </c>
    </row>
    <row r="35" spans="1:14" x14ac:dyDescent="0.25">
      <c r="A35" s="11">
        <v>154</v>
      </c>
      <c r="B35" s="1" t="s">
        <v>102</v>
      </c>
      <c r="C35" s="2" t="s">
        <v>103</v>
      </c>
      <c r="D35" s="1" t="s">
        <v>35</v>
      </c>
      <c r="E35" s="1" t="s">
        <v>95</v>
      </c>
      <c r="F35" s="1">
        <v>18</v>
      </c>
      <c r="G35" s="3">
        <v>54.9</v>
      </c>
      <c r="H35" s="3">
        <v>0</v>
      </c>
      <c r="I35" s="3">
        <v>988.2</v>
      </c>
      <c r="J35" s="2" t="s">
        <v>31</v>
      </c>
      <c r="K35" s="2" t="s">
        <v>26</v>
      </c>
      <c r="L35" s="1" t="s">
        <v>58</v>
      </c>
      <c r="M35" s="1">
        <v>8</v>
      </c>
      <c r="N35" s="12">
        <v>2024</v>
      </c>
    </row>
    <row r="36" spans="1:14" x14ac:dyDescent="0.25">
      <c r="A36" s="11">
        <v>176</v>
      </c>
      <c r="B36" s="1" t="s">
        <v>102</v>
      </c>
      <c r="C36" s="2" t="s">
        <v>22</v>
      </c>
      <c r="D36" s="1" t="s">
        <v>23</v>
      </c>
      <c r="E36" s="1" t="s">
        <v>24</v>
      </c>
      <c r="F36" s="1">
        <v>18</v>
      </c>
      <c r="G36" s="3">
        <v>2.9</v>
      </c>
      <c r="H36" s="3">
        <v>0</v>
      </c>
      <c r="I36" s="3">
        <v>52.2</v>
      </c>
      <c r="J36" s="2" t="s">
        <v>40</v>
      </c>
      <c r="K36" s="2" t="s">
        <v>32</v>
      </c>
      <c r="L36" s="1" t="s">
        <v>58</v>
      </c>
      <c r="M36" s="1">
        <v>8</v>
      </c>
      <c r="N36" s="12">
        <v>2024</v>
      </c>
    </row>
    <row r="37" spans="1:14" ht="25.5" x14ac:dyDescent="0.25">
      <c r="A37" s="11">
        <v>44</v>
      </c>
      <c r="B37" s="1" t="s">
        <v>104</v>
      </c>
      <c r="C37" s="2" t="s">
        <v>91</v>
      </c>
      <c r="D37" s="1" t="s">
        <v>61</v>
      </c>
      <c r="E37" s="1" t="s">
        <v>30</v>
      </c>
      <c r="F37" s="1">
        <v>18</v>
      </c>
      <c r="G37" s="3">
        <v>4.5</v>
      </c>
      <c r="H37" s="3">
        <v>0</v>
      </c>
      <c r="I37" s="3">
        <v>81</v>
      </c>
      <c r="J37" s="2" t="s">
        <v>40</v>
      </c>
      <c r="K37" s="2" t="s">
        <v>26</v>
      </c>
      <c r="L37" s="1" t="s">
        <v>105</v>
      </c>
      <c r="M37" s="1">
        <v>9</v>
      </c>
      <c r="N37" s="12">
        <v>2024</v>
      </c>
    </row>
    <row r="38" spans="1:14" ht="25.5" x14ac:dyDescent="0.25">
      <c r="A38" s="11">
        <v>194</v>
      </c>
      <c r="B38" s="1" t="s">
        <v>104</v>
      </c>
      <c r="C38" s="2" t="s">
        <v>22</v>
      </c>
      <c r="D38" s="1" t="s">
        <v>23</v>
      </c>
      <c r="E38" s="1" t="s">
        <v>24</v>
      </c>
      <c r="F38" s="1">
        <v>1</v>
      </c>
      <c r="G38" s="3">
        <v>2.9</v>
      </c>
      <c r="H38" s="3">
        <v>0.28999999999999998</v>
      </c>
      <c r="I38" s="3">
        <v>2.61</v>
      </c>
      <c r="J38" s="2" t="s">
        <v>45</v>
      </c>
      <c r="K38" s="2" t="s">
        <v>26</v>
      </c>
      <c r="L38" s="1" t="s">
        <v>105</v>
      </c>
      <c r="M38" s="1">
        <v>9</v>
      </c>
      <c r="N38" s="12">
        <v>2024</v>
      </c>
    </row>
    <row r="39" spans="1:14" ht="25.5" x14ac:dyDescent="0.25">
      <c r="A39" s="11">
        <v>9</v>
      </c>
      <c r="B39" s="1" t="s">
        <v>106</v>
      </c>
      <c r="C39" s="2" t="s">
        <v>60</v>
      </c>
      <c r="D39" s="1" t="s">
        <v>61</v>
      </c>
      <c r="E39" s="1" t="s">
        <v>62</v>
      </c>
      <c r="F39" s="1">
        <v>26</v>
      </c>
      <c r="G39" s="3">
        <v>12.9</v>
      </c>
      <c r="H39" s="3">
        <v>0</v>
      </c>
      <c r="I39" s="3">
        <v>335.4</v>
      </c>
      <c r="J39" s="2" t="s">
        <v>40</v>
      </c>
      <c r="K39" s="2" t="s">
        <v>19</v>
      </c>
      <c r="L39" s="1" t="s">
        <v>65</v>
      </c>
      <c r="M39" s="1">
        <v>11</v>
      </c>
      <c r="N39" s="12">
        <v>2024</v>
      </c>
    </row>
    <row r="40" spans="1:14" ht="25.5" x14ac:dyDescent="0.25">
      <c r="A40" s="11">
        <v>72</v>
      </c>
      <c r="B40" s="1" t="s">
        <v>106</v>
      </c>
      <c r="C40" s="2" t="s">
        <v>91</v>
      </c>
      <c r="D40" s="1" t="s">
        <v>61</v>
      </c>
      <c r="E40" s="1" t="s">
        <v>30</v>
      </c>
      <c r="F40" s="1">
        <v>23</v>
      </c>
      <c r="G40" s="3">
        <v>4.5</v>
      </c>
      <c r="H40" s="3">
        <v>0</v>
      </c>
      <c r="I40" s="3">
        <v>103.5</v>
      </c>
      <c r="J40" s="2" t="s">
        <v>45</v>
      </c>
      <c r="K40" s="2" t="s">
        <v>26</v>
      </c>
      <c r="L40" s="1" t="s">
        <v>65</v>
      </c>
      <c r="M40" s="1">
        <v>11</v>
      </c>
      <c r="N40" s="12">
        <v>2024</v>
      </c>
    </row>
    <row r="41" spans="1:14" ht="25.5" x14ac:dyDescent="0.25">
      <c r="A41" s="11">
        <v>182</v>
      </c>
      <c r="B41" s="1" t="s">
        <v>106</v>
      </c>
      <c r="C41" s="2" t="s">
        <v>60</v>
      </c>
      <c r="D41" s="1" t="s">
        <v>61</v>
      </c>
      <c r="E41" s="1" t="s">
        <v>62</v>
      </c>
      <c r="F41" s="1">
        <v>1</v>
      </c>
      <c r="G41" s="3">
        <v>12.9</v>
      </c>
      <c r="H41" s="3">
        <v>0</v>
      </c>
      <c r="I41" s="3">
        <v>12.9</v>
      </c>
      <c r="J41" s="4" t="s">
        <v>107</v>
      </c>
      <c r="K41" s="2" t="s">
        <v>26</v>
      </c>
      <c r="L41" s="1" t="s">
        <v>65</v>
      </c>
      <c r="M41" s="1">
        <v>11</v>
      </c>
      <c r="N41" s="12">
        <v>2024</v>
      </c>
    </row>
    <row r="42" spans="1:14" ht="25.5" x14ac:dyDescent="0.25">
      <c r="A42" s="11">
        <v>268</v>
      </c>
      <c r="B42" s="1" t="s">
        <v>106</v>
      </c>
      <c r="C42" s="2" t="s">
        <v>108</v>
      </c>
      <c r="D42" s="1" t="s">
        <v>68</v>
      </c>
      <c r="E42" s="1" t="s">
        <v>49</v>
      </c>
      <c r="F42" s="1">
        <v>4</v>
      </c>
      <c r="G42" s="5">
        <v>-24.9</v>
      </c>
      <c r="H42" s="3">
        <v>0</v>
      </c>
      <c r="I42" s="5">
        <v>-99.6</v>
      </c>
      <c r="J42" s="2" t="s">
        <v>40</v>
      </c>
      <c r="K42" s="2" t="s">
        <v>26</v>
      </c>
      <c r="L42" s="1" t="s">
        <v>65</v>
      </c>
      <c r="M42" s="1">
        <v>11</v>
      </c>
      <c r="N42" s="12">
        <v>2024</v>
      </c>
    </row>
    <row r="43" spans="1:14" ht="25.5" x14ac:dyDescent="0.25">
      <c r="A43" s="11">
        <v>95</v>
      </c>
      <c r="B43" s="1" t="s">
        <v>109</v>
      </c>
      <c r="C43" s="2" t="s">
        <v>22</v>
      </c>
      <c r="D43" s="1" t="s">
        <v>23</v>
      </c>
      <c r="E43" s="1" t="s">
        <v>24</v>
      </c>
      <c r="F43" s="1">
        <v>24</v>
      </c>
      <c r="G43" s="3">
        <v>2.9</v>
      </c>
      <c r="H43" s="3">
        <v>0</v>
      </c>
      <c r="I43" s="3">
        <v>69.599999999999994</v>
      </c>
      <c r="J43" s="2" t="s">
        <v>50</v>
      </c>
      <c r="K43" s="2" t="s">
        <v>19</v>
      </c>
      <c r="L43" s="1" t="s">
        <v>37</v>
      </c>
      <c r="M43" s="1">
        <v>12</v>
      </c>
      <c r="N43" s="12">
        <v>2024</v>
      </c>
    </row>
    <row r="44" spans="1:14" x14ac:dyDescent="0.25">
      <c r="A44" s="11">
        <v>27</v>
      </c>
      <c r="B44" s="1" t="s">
        <v>110</v>
      </c>
      <c r="C44" s="2" t="s">
        <v>82</v>
      </c>
      <c r="D44" s="1" t="s">
        <v>35</v>
      </c>
      <c r="E44" s="1" t="s">
        <v>36</v>
      </c>
      <c r="F44" s="1">
        <v>24</v>
      </c>
      <c r="G44" s="3">
        <v>14.9</v>
      </c>
      <c r="H44" s="3">
        <v>0</v>
      </c>
      <c r="I44" s="3">
        <v>357.6</v>
      </c>
      <c r="J44" s="2" t="s">
        <v>40</v>
      </c>
      <c r="K44" s="2" t="s">
        <v>26</v>
      </c>
      <c r="L44" s="1" t="s">
        <v>20</v>
      </c>
      <c r="M44" s="1">
        <v>1</v>
      </c>
      <c r="N44" s="12">
        <v>2024</v>
      </c>
    </row>
    <row r="45" spans="1:14" x14ac:dyDescent="0.25">
      <c r="A45" s="11">
        <v>40</v>
      </c>
      <c r="B45" s="1" t="s">
        <v>111</v>
      </c>
      <c r="C45" s="2" t="s">
        <v>112</v>
      </c>
      <c r="D45" s="1" t="s">
        <v>61</v>
      </c>
      <c r="E45" s="1" t="s">
        <v>113</v>
      </c>
      <c r="F45" s="1">
        <v>3</v>
      </c>
      <c r="G45" s="3">
        <v>4.9000000000000004</v>
      </c>
      <c r="H45" s="3">
        <v>0</v>
      </c>
      <c r="I45" s="3">
        <v>14.7</v>
      </c>
      <c r="J45" s="2" t="s">
        <v>25</v>
      </c>
      <c r="K45" s="2" t="s">
        <v>26</v>
      </c>
      <c r="L45" s="1" t="s">
        <v>51</v>
      </c>
      <c r="M45" s="1">
        <v>5</v>
      </c>
      <c r="N45" s="12">
        <v>2024</v>
      </c>
    </row>
    <row r="46" spans="1:14" ht="25.5" x14ac:dyDescent="0.25">
      <c r="A46" s="11">
        <v>56</v>
      </c>
      <c r="B46" s="1" t="s">
        <v>114</v>
      </c>
      <c r="C46" s="2" t="s">
        <v>115</v>
      </c>
      <c r="D46" s="1" t="s">
        <v>23</v>
      </c>
      <c r="E46" s="1" t="s">
        <v>116</v>
      </c>
      <c r="F46" s="1">
        <v>7</v>
      </c>
      <c r="G46" s="3">
        <v>12.5</v>
      </c>
      <c r="H46" s="3">
        <v>0</v>
      </c>
      <c r="I46" s="3">
        <v>87.5</v>
      </c>
      <c r="J46" s="2" t="s">
        <v>45</v>
      </c>
      <c r="K46" s="2" t="s">
        <v>32</v>
      </c>
      <c r="L46" s="1" t="s">
        <v>105</v>
      </c>
      <c r="M46" s="1">
        <v>9</v>
      </c>
      <c r="N46" s="12">
        <v>2024</v>
      </c>
    </row>
    <row r="47" spans="1:14" ht="25.5" x14ac:dyDescent="0.25">
      <c r="A47" s="11">
        <v>122</v>
      </c>
      <c r="B47" s="1" t="s">
        <v>114</v>
      </c>
      <c r="C47" s="2" t="s">
        <v>112</v>
      </c>
      <c r="D47" s="1" t="s">
        <v>61</v>
      </c>
      <c r="E47" s="1" t="s">
        <v>113</v>
      </c>
      <c r="F47" s="6"/>
      <c r="G47" s="3">
        <v>4.9000000000000004</v>
      </c>
      <c r="H47" s="3">
        <v>2.21</v>
      </c>
      <c r="I47" s="3">
        <v>41.89</v>
      </c>
      <c r="J47" s="2" t="s">
        <v>18</v>
      </c>
      <c r="K47" s="2" t="s">
        <v>32</v>
      </c>
      <c r="L47" s="1" t="s">
        <v>105</v>
      </c>
      <c r="M47" s="1">
        <v>9</v>
      </c>
      <c r="N47" s="12">
        <v>2024</v>
      </c>
    </row>
    <row r="48" spans="1:14" ht="25.5" x14ac:dyDescent="0.25">
      <c r="A48" s="11">
        <v>134</v>
      </c>
      <c r="B48" s="1" t="s">
        <v>117</v>
      </c>
      <c r="C48" s="2" t="s">
        <v>103</v>
      </c>
      <c r="D48" s="1" t="s">
        <v>35</v>
      </c>
      <c r="E48" s="1" t="s">
        <v>95</v>
      </c>
      <c r="F48" s="1">
        <v>23</v>
      </c>
      <c r="G48" s="3">
        <v>54.9</v>
      </c>
      <c r="H48" s="3">
        <v>0</v>
      </c>
      <c r="I48" s="3">
        <v>1262.7</v>
      </c>
      <c r="J48" s="2" t="s">
        <v>45</v>
      </c>
      <c r="K48" s="2" t="s">
        <v>19</v>
      </c>
      <c r="L48" s="1" t="s">
        <v>65</v>
      </c>
      <c r="M48" s="1">
        <v>11</v>
      </c>
      <c r="N48" s="12">
        <v>2024</v>
      </c>
    </row>
    <row r="49" spans="1:14" ht="25.5" x14ac:dyDescent="0.25">
      <c r="A49" s="11">
        <v>167</v>
      </c>
      <c r="B49" s="1" t="s">
        <v>117</v>
      </c>
      <c r="C49" s="2" t="s">
        <v>118</v>
      </c>
      <c r="D49" s="1" t="s">
        <v>16</v>
      </c>
      <c r="E49" s="1" t="s">
        <v>119</v>
      </c>
      <c r="F49" s="1">
        <v>26</v>
      </c>
      <c r="G49" s="3">
        <v>2.5</v>
      </c>
      <c r="H49" s="3">
        <v>6.5</v>
      </c>
      <c r="I49" s="3">
        <v>58.5</v>
      </c>
      <c r="J49" s="2" t="s">
        <v>45</v>
      </c>
      <c r="K49" s="2" t="s">
        <v>26</v>
      </c>
      <c r="L49" s="1" t="s">
        <v>65</v>
      </c>
      <c r="M49" s="1">
        <v>11</v>
      </c>
      <c r="N49" s="12">
        <v>2024</v>
      </c>
    </row>
    <row r="50" spans="1:14" ht="25.5" x14ac:dyDescent="0.25">
      <c r="A50" s="11">
        <v>276</v>
      </c>
      <c r="B50" s="1" t="s">
        <v>120</v>
      </c>
      <c r="C50" s="2" t="s">
        <v>94</v>
      </c>
      <c r="D50" s="1" t="s">
        <v>35</v>
      </c>
      <c r="E50" s="1" t="s">
        <v>95</v>
      </c>
      <c r="F50" s="1">
        <v>14</v>
      </c>
      <c r="G50" s="3">
        <v>19.899999999999999</v>
      </c>
      <c r="H50" s="3">
        <v>0</v>
      </c>
      <c r="I50" s="3">
        <v>278.60000000000002</v>
      </c>
      <c r="J50" s="2" t="s">
        <v>31</v>
      </c>
      <c r="K50" s="2" t="s">
        <v>26</v>
      </c>
      <c r="L50" s="1" t="s">
        <v>37</v>
      </c>
      <c r="M50" s="1">
        <v>12</v>
      </c>
      <c r="N50" s="12">
        <v>2024</v>
      </c>
    </row>
    <row r="51" spans="1:14" ht="25.5" x14ac:dyDescent="0.25">
      <c r="A51" s="11">
        <v>65</v>
      </c>
      <c r="B51" s="1" t="s">
        <v>121</v>
      </c>
      <c r="C51" s="2" t="s">
        <v>43</v>
      </c>
      <c r="D51" s="1" t="s">
        <v>23</v>
      </c>
      <c r="E51" s="1" t="s">
        <v>44</v>
      </c>
      <c r="F51" s="1">
        <v>15</v>
      </c>
      <c r="G51" s="3">
        <v>12.9</v>
      </c>
      <c r="H51" s="3">
        <v>19.350000000000001</v>
      </c>
      <c r="I51" s="3">
        <v>174.15</v>
      </c>
      <c r="J51" s="2" t="s">
        <v>50</v>
      </c>
      <c r="K51" s="2" t="s">
        <v>32</v>
      </c>
      <c r="L51" s="1" t="s">
        <v>41</v>
      </c>
      <c r="M51" s="1">
        <v>2</v>
      </c>
      <c r="N51" s="12">
        <v>2024</v>
      </c>
    </row>
    <row r="52" spans="1:14" ht="25.5" x14ac:dyDescent="0.25">
      <c r="A52" s="11">
        <v>66</v>
      </c>
      <c r="B52" s="1" t="s">
        <v>121</v>
      </c>
      <c r="C52" s="2" t="s">
        <v>122</v>
      </c>
      <c r="D52" s="1" t="s">
        <v>74</v>
      </c>
      <c r="E52" s="1" t="s">
        <v>57</v>
      </c>
      <c r="F52" s="1">
        <v>7</v>
      </c>
      <c r="G52" s="3">
        <v>7.9</v>
      </c>
      <c r="H52" s="3">
        <v>5.53</v>
      </c>
      <c r="I52" s="3">
        <v>49.77</v>
      </c>
      <c r="J52" s="2" t="s">
        <v>31</v>
      </c>
      <c r="K52" s="2" t="s">
        <v>32</v>
      </c>
      <c r="L52" s="1" t="s">
        <v>41</v>
      </c>
      <c r="M52" s="1">
        <v>2</v>
      </c>
      <c r="N52" s="12">
        <v>2024</v>
      </c>
    </row>
    <row r="53" spans="1:14" x14ac:dyDescent="0.25">
      <c r="A53" s="11">
        <v>110</v>
      </c>
      <c r="B53" s="1" t="s">
        <v>123</v>
      </c>
      <c r="C53" s="2" t="s">
        <v>22</v>
      </c>
      <c r="D53" s="1" t="s">
        <v>23</v>
      </c>
      <c r="E53" s="1" t="s">
        <v>24</v>
      </c>
      <c r="F53" s="1">
        <v>15</v>
      </c>
      <c r="G53" s="3">
        <v>2.9</v>
      </c>
      <c r="H53" s="3">
        <v>0</v>
      </c>
      <c r="I53" s="3">
        <v>43.5</v>
      </c>
      <c r="J53" s="2" t="s">
        <v>18</v>
      </c>
      <c r="K53" s="2" t="s">
        <v>26</v>
      </c>
      <c r="L53" s="1" t="s">
        <v>51</v>
      </c>
      <c r="M53" s="1">
        <v>5</v>
      </c>
      <c r="N53" s="12">
        <v>2024</v>
      </c>
    </row>
    <row r="54" spans="1:14" x14ac:dyDescent="0.25">
      <c r="A54" s="11">
        <v>240</v>
      </c>
      <c r="B54" s="6"/>
      <c r="C54" s="2" t="s">
        <v>82</v>
      </c>
      <c r="D54" s="1" t="s">
        <v>35</v>
      </c>
      <c r="E54" s="1" t="s">
        <v>36</v>
      </c>
      <c r="F54" s="1">
        <v>24</v>
      </c>
      <c r="G54" s="3">
        <v>14.9</v>
      </c>
      <c r="H54" s="3">
        <v>0</v>
      </c>
      <c r="I54" s="3">
        <v>357.6</v>
      </c>
      <c r="J54" s="2" t="s">
        <v>50</v>
      </c>
      <c r="K54" s="2" t="s">
        <v>19</v>
      </c>
      <c r="L54" s="1" t="s">
        <v>89</v>
      </c>
      <c r="M54" s="1">
        <v>7</v>
      </c>
      <c r="N54" s="12">
        <v>2024</v>
      </c>
    </row>
    <row r="55" spans="1:14" x14ac:dyDescent="0.25">
      <c r="A55" s="11">
        <v>251</v>
      </c>
      <c r="B55" s="1" t="s">
        <v>124</v>
      </c>
      <c r="C55" s="2" t="s">
        <v>122</v>
      </c>
      <c r="D55" s="1" t="s">
        <v>74</v>
      </c>
      <c r="E55" s="1" t="s">
        <v>57</v>
      </c>
      <c r="F55" s="1">
        <v>29</v>
      </c>
      <c r="G55" s="3">
        <v>7.9</v>
      </c>
      <c r="H55" s="3">
        <v>0</v>
      </c>
      <c r="I55" s="3">
        <v>229.1</v>
      </c>
      <c r="J55" s="2" t="s">
        <v>25</v>
      </c>
      <c r="K55" s="2" t="s">
        <v>19</v>
      </c>
      <c r="L55" s="1" t="s">
        <v>89</v>
      </c>
      <c r="M55" s="1">
        <v>7</v>
      </c>
      <c r="N55" s="12">
        <v>2024</v>
      </c>
    </row>
    <row r="56" spans="1:14" x14ac:dyDescent="0.25">
      <c r="A56" s="11">
        <v>126</v>
      </c>
      <c r="B56" s="1" t="s">
        <v>125</v>
      </c>
      <c r="C56" s="2" t="s">
        <v>48</v>
      </c>
      <c r="D56" s="1" t="s">
        <v>23</v>
      </c>
      <c r="E56" s="1" t="s">
        <v>49</v>
      </c>
      <c r="F56" s="6"/>
      <c r="G56" s="3">
        <v>18.899999999999999</v>
      </c>
      <c r="H56" s="3">
        <v>26.46</v>
      </c>
      <c r="I56" s="3">
        <v>502.74</v>
      </c>
      <c r="J56" s="2" t="s">
        <v>45</v>
      </c>
      <c r="K56" s="2" t="s">
        <v>32</v>
      </c>
      <c r="L56" s="1" t="s">
        <v>58</v>
      </c>
      <c r="M56" s="1">
        <v>8</v>
      </c>
      <c r="N56" s="12">
        <v>2024</v>
      </c>
    </row>
    <row r="57" spans="1:14" x14ac:dyDescent="0.25">
      <c r="A57" s="11">
        <v>169</v>
      </c>
      <c r="B57" s="1" t="s">
        <v>125</v>
      </c>
      <c r="C57" s="2" t="s">
        <v>126</v>
      </c>
      <c r="D57" s="1" t="s">
        <v>29</v>
      </c>
      <c r="E57" s="1" t="s">
        <v>127</v>
      </c>
      <c r="F57" s="1">
        <v>19</v>
      </c>
      <c r="G57" s="3">
        <v>6.9</v>
      </c>
      <c r="H57" s="3">
        <v>13.11</v>
      </c>
      <c r="I57" s="3">
        <v>117.99</v>
      </c>
      <c r="J57" s="2" t="s">
        <v>25</v>
      </c>
      <c r="K57" s="2" t="s">
        <v>26</v>
      </c>
      <c r="L57" s="1" t="s">
        <v>58</v>
      </c>
      <c r="M57" s="1">
        <v>8</v>
      </c>
      <c r="N57" s="12">
        <v>2024</v>
      </c>
    </row>
    <row r="58" spans="1:14" x14ac:dyDescent="0.25">
      <c r="A58" s="11">
        <v>280</v>
      </c>
      <c r="B58" s="1" t="s">
        <v>125</v>
      </c>
      <c r="C58" s="2" t="s">
        <v>128</v>
      </c>
      <c r="D58" s="1" t="s">
        <v>74</v>
      </c>
      <c r="E58" s="1" t="s">
        <v>57</v>
      </c>
      <c r="F58" s="1">
        <v>25</v>
      </c>
      <c r="G58" s="3">
        <v>5.9</v>
      </c>
      <c r="H58" s="3">
        <v>14.75</v>
      </c>
      <c r="I58" s="3">
        <v>132.75</v>
      </c>
      <c r="J58" s="2" t="s">
        <v>50</v>
      </c>
      <c r="K58" s="2" t="s">
        <v>26</v>
      </c>
      <c r="L58" s="1" t="s">
        <v>58</v>
      </c>
      <c r="M58" s="1">
        <v>8</v>
      </c>
      <c r="N58" s="12">
        <v>2024</v>
      </c>
    </row>
    <row r="59" spans="1:14" x14ac:dyDescent="0.25">
      <c r="A59" s="11">
        <v>299</v>
      </c>
      <c r="B59" s="1" t="s">
        <v>125</v>
      </c>
      <c r="C59" s="2" t="s">
        <v>73</v>
      </c>
      <c r="D59" s="1" t="s">
        <v>74</v>
      </c>
      <c r="E59" s="1" t="s">
        <v>17</v>
      </c>
      <c r="F59" s="1">
        <v>13</v>
      </c>
      <c r="G59" s="3">
        <v>2.9</v>
      </c>
      <c r="H59" s="3">
        <v>1.88</v>
      </c>
      <c r="I59" s="3">
        <v>35.82</v>
      </c>
      <c r="J59" s="2" t="s">
        <v>31</v>
      </c>
      <c r="K59" s="2" t="s">
        <v>32</v>
      </c>
      <c r="L59" s="1" t="s">
        <v>58</v>
      </c>
      <c r="M59" s="1">
        <v>8</v>
      </c>
      <c r="N59" s="12">
        <v>2024</v>
      </c>
    </row>
    <row r="60" spans="1:14" ht="25.5" x14ac:dyDescent="0.25">
      <c r="A60" s="11">
        <v>150</v>
      </c>
      <c r="B60" s="1" t="s">
        <v>129</v>
      </c>
      <c r="C60" s="2" t="s">
        <v>128</v>
      </c>
      <c r="D60" s="1" t="s">
        <v>74</v>
      </c>
      <c r="E60" s="1" t="s">
        <v>57</v>
      </c>
      <c r="F60" s="1">
        <v>25</v>
      </c>
      <c r="G60" s="3">
        <v>5.9</v>
      </c>
      <c r="H60" s="3">
        <v>0</v>
      </c>
      <c r="I60" s="3">
        <v>147.5</v>
      </c>
      <c r="J60" s="4" t="s">
        <v>130</v>
      </c>
      <c r="K60" s="2" t="s">
        <v>19</v>
      </c>
      <c r="L60" s="1" t="s">
        <v>105</v>
      </c>
      <c r="M60" s="1">
        <v>9</v>
      </c>
      <c r="N60" s="12">
        <v>2024</v>
      </c>
    </row>
    <row r="61" spans="1:14" ht="25.5" x14ac:dyDescent="0.25">
      <c r="A61" s="11">
        <v>203</v>
      </c>
      <c r="B61" s="1" t="s">
        <v>129</v>
      </c>
      <c r="C61" s="2" t="s">
        <v>115</v>
      </c>
      <c r="D61" s="1" t="s">
        <v>23</v>
      </c>
      <c r="E61" s="1" t="s">
        <v>116</v>
      </c>
      <c r="F61" s="1">
        <v>15</v>
      </c>
      <c r="G61" s="3">
        <v>12.5</v>
      </c>
      <c r="H61" s="3">
        <v>18.75</v>
      </c>
      <c r="I61" s="3">
        <v>168.75</v>
      </c>
      <c r="J61" s="2" t="s">
        <v>18</v>
      </c>
      <c r="K61" s="2" t="s">
        <v>19</v>
      </c>
      <c r="L61" s="1" t="s">
        <v>105</v>
      </c>
      <c r="M61" s="1">
        <v>9</v>
      </c>
      <c r="N61" s="12">
        <v>2024</v>
      </c>
    </row>
    <row r="62" spans="1:14" ht="25.5" x14ac:dyDescent="0.25">
      <c r="A62" s="11">
        <v>31</v>
      </c>
      <c r="B62" s="1" t="s">
        <v>131</v>
      </c>
      <c r="C62" s="2" t="s">
        <v>132</v>
      </c>
      <c r="D62" s="1" t="s">
        <v>61</v>
      </c>
      <c r="E62" s="1" t="s">
        <v>30</v>
      </c>
      <c r="F62" s="1">
        <v>5</v>
      </c>
      <c r="G62" s="3">
        <v>4.2</v>
      </c>
      <c r="H62" s="3">
        <v>0</v>
      </c>
      <c r="I62" s="3">
        <v>21</v>
      </c>
      <c r="J62" s="2" t="s">
        <v>45</v>
      </c>
      <c r="K62" s="2" t="s">
        <v>26</v>
      </c>
      <c r="L62" s="1" t="s">
        <v>65</v>
      </c>
      <c r="M62" s="1">
        <v>11</v>
      </c>
      <c r="N62" s="12">
        <v>2024</v>
      </c>
    </row>
    <row r="63" spans="1:14" ht="25.5" x14ac:dyDescent="0.25">
      <c r="A63" s="11">
        <v>96</v>
      </c>
      <c r="B63" s="1" t="s">
        <v>133</v>
      </c>
      <c r="C63" s="2" t="s">
        <v>134</v>
      </c>
      <c r="D63" s="1" t="s">
        <v>68</v>
      </c>
      <c r="E63" s="1" t="s">
        <v>17</v>
      </c>
      <c r="F63" s="1">
        <v>11</v>
      </c>
      <c r="G63" s="3">
        <v>0.75</v>
      </c>
      <c r="H63" s="3">
        <v>0.41</v>
      </c>
      <c r="I63" s="3">
        <v>7.84</v>
      </c>
      <c r="J63" s="2" t="s">
        <v>40</v>
      </c>
      <c r="K63" s="2" t="s">
        <v>19</v>
      </c>
      <c r="L63" s="1" t="s">
        <v>37</v>
      </c>
      <c r="M63" s="1">
        <v>12</v>
      </c>
      <c r="N63" s="12">
        <v>2024</v>
      </c>
    </row>
    <row r="64" spans="1:14" x14ac:dyDescent="0.25">
      <c r="A64" s="11">
        <v>160</v>
      </c>
      <c r="B64" s="1" t="s">
        <v>135</v>
      </c>
      <c r="C64" s="2" t="s">
        <v>136</v>
      </c>
      <c r="D64" s="1" t="s">
        <v>35</v>
      </c>
      <c r="E64" s="1" t="s">
        <v>137</v>
      </c>
      <c r="F64" s="1">
        <v>18</v>
      </c>
      <c r="G64" s="3">
        <v>4.9000000000000004</v>
      </c>
      <c r="H64" s="3">
        <v>0</v>
      </c>
      <c r="I64" s="3">
        <v>88.2</v>
      </c>
      <c r="J64" s="2" t="s">
        <v>31</v>
      </c>
      <c r="K64" s="2" t="s">
        <v>32</v>
      </c>
      <c r="L64" s="1" t="s">
        <v>20</v>
      </c>
      <c r="M64" s="1">
        <v>1</v>
      </c>
      <c r="N64" s="12">
        <v>2024</v>
      </c>
    </row>
    <row r="65" spans="1:14" ht="25.5" x14ac:dyDescent="0.25">
      <c r="A65" s="11">
        <v>51</v>
      </c>
      <c r="B65" s="1" t="s">
        <v>138</v>
      </c>
      <c r="C65" s="2" t="s">
        <v>139</v>
      </c>
      <c r="D65" s="1" t="s">
        <v>68</v>
      </c>
      <c r="E65" s="1" t="s">
        <v>17</v>
      </c>
      <c r="F65" s="1">
        <v>26</v>
      </c>
      <c r="G65" s="3">
        <v>4.5</v>
      </c>
      <c r="H65" s="3">
        <v>11.7</v>
      </c>
      <c r="I65" s="3">
        <v>105.3</v>
      </c>
      <c r="J65" s="2" t="s">
        <v>25</v>
      </c>
      <c r="K65" s="2" t="s">
        <v>32</v>
      </c>
      <c r="L65" s="1" t="s">
        <v>41</v>
      </c>
      <c r="M65" s="1">
        <v>2</v>
      </c>
      <c r="N65" s="12">
        <v>2024</v>
      </c>
    </row>
    <row r="66" spans="1:14" x14ac:dyDescent="0.25">
      <c r="A66" s="11">
        <v>156</v>
      </c>
      <c r="B66" s="1" t="s">
        <v>140</v>
      </c>
      <c r="C66" s="2" t="s">
        <v>141</v>
      </c>
      <c r="D66" s="1" t="s">
        <v>29</v>
      </c>
      <c r="E66" s="1" t="s">
        <v>142</v>
      </c>
      <c r="F66" s="1">
        <v>4</v>
      </c>
      <c r="G66" s="3">
        <v>2.5</v>
      </c>
      <c r="H66" s="3">
        <v>1</v>
      </c>
      <c r="I66" s="3">
        <v>9</v>
      </c>
      <c r="J66" s="2" t="s">
        <v>40</v>
      </c>
      <c r="K66" s="2" t="s">
        <v>32</v>
      </c>
      <c r="L66" s="1" t="s">
        <v>71</v>
      </c>
      <c r="M66" s="1">
        <v>4</v>
      </c>
      <c r="N66" s="12">
        <v>2024</v>
      </c>
    </row>
    <row r="67" spans="1:14" x14ac:dyDescent="0.25">
      <c r="A67" s="11">
        <v>157</v>
      </c>
      <c r="B67" s="1" t="s">
        <v>140</v>
      </c>
      <c r="C67" s="2" t="s">
        <v>91</v>
      </c>
      <c r="D67" s="1" t="s">
        <v>61</v>
      </c>
      <c r="E67" s="1" t="s">
        <v>30</v>
      </c>
      <c r="F67" s="1">
        <v>24</v>
      </c>
      <c r="G67" s="3">
        <v>4.5</v>
      </c>
      <c r="H67" s="3">
        <v>5.4</v>
      </c>
      <c r="I67" s="3">
        <v>102.6</v>
      </c>
      <c r="J67" s="2" t="s">
        <v>31</v>
      </c>
      <c r="K67" s="2" t="s">
        <v>26</v>
      </c>
      <c r="L67" s="1" t="s">
        <v>71</v>
      </c>
      <c r="M67" s="1">
        <v>4</v>
      </c>
      <c r="N67" s="12">
        <v>2024</v>
      </c>
    </row>
    <row r="68" spans="1:14" x14ac:dyDescent="0.25">
      <c r="A68" s="11">
        <v>277</v>
      </c>
      <c r="B68" s="1" t="s">
        <v>143</v>
      </c>
      <c r="C68" s="2" t="s">
        <v>144</v>
      </c>
      <c r="D68" s="1" t="s">
        <v>29</v>
      </c>
      <c r="E68" s="1" t="s">
        <v>145</v>
      </c>
      <c r="F68" s="1">
        <v>4</v>
      </c>
      <c r="G68" s="3">
        <v>3.9</v>
      </c>
      <c r="H68" s="3">
        <v>1.56</v>
      </c>
      <c r="I68" s="3">
        <v>14.04</v>
      </c>
      <c r="J68" s="2" t="s">
        <v>50</v>
      </c>
      <c r="K68" s="2" t="s">
        <v>32</v>
      </c>
      <c r="L68" s="1" t="s">
        <v>53</v>
      </c>
      <c r="M68" s="1">
        <v>6</v>
      </c>
      <c r="N68" s="12">
        <v>2024</v>
      </c>
    </row>
    <row r="69" spans="1:14" x14ac:dyDescent="0.25">
      <c r="A69" s="11">
        <v>78</v>
      </c>
      <c r="B69" s="1" t="s">
        <v>146</v>
      </c>
      <c r="C69" s="2" t="s">
        <v>147</v>
      </c>
      <c r="D69" s="1" t="s">
        <v>74</v>
      </c>
      <c r="E69" s="1" t="s">
        <v>57</v>
      </c>
      <c r="F69" s="1">
        <v>18</v>
      </c>
      <c r="G69" s="3">
        <v>4.5</v>
      </c>
      <c r="H69" s="3">
        <v>0</v>
      </c>
      <c r="I69" s="3">
        <v>81</v>
      </c>
      <c r="J69" s="2" t="s">
        <v>18</v>
      </c>
      <c r="K69" s="2" t="s">
        <v>32</v>
      </c>
      <c r="L69" s="1" t="s">
        <v>89</v>
      </c>
      <c r="M69" s="1">
        <v>7</v>
      </c>
      <c r="N69" s="12">
        <v>2024</v>
      </c>
    </row>
    <row r="70" spans="1:14" ht="25.5" x14ac:dyDescent="0.25">
      <c r="A70" s="11">
        <v>193</v>
      </c>
      <c r="B70" s="1" t="s">
        <v>148</v>
      </c>
      <c r="C70" s="2" t="s">
        <v>48</v>
      </c>
      <c r="D70" s="1" t="s">
        <v>23</v>
      </c>
      <c r="E70" s="1" t="s">
        <v>49</v>
      </c>
      <c r="F70" s="1">
        <v>30</v>
      </c>
      <c r="G70" s="3">
        <v>18.899999999999999</v>
      </c>
      <c r="H70" s="3">
        <v>0</v>
      </c>
      <c r="I70" s="3">
        <v>567</v>
      </c>
      <c r="J70" s="2" t="s">
        <v>18</v>
      </c>
      <c r="K70" s="2" t="s">
        <v>26</v>
      </c>
      <c r="L70" s="1" t="s">
        <v>27</v>
      </c>
      <c r="M70" s="1">
        <v>10</v>
      </c>
      <c r="N70" s="12">
        <v>2024</v>
      </c>
    </row>
    <row r="71" spans="1:14" ht="25.5" x14ac:dyDescent="0.25">
      <c r="A71" s="11">
        <v>146</v>
      </c>
      <c r="B71" s="1" t="s">
        <v>149</v>
      </c>
      <c r="C71" s="2" t="s">
        <v>150</v>
      </c>
      <c r="D71" s="1" t="s">
        <v>29</v>
      </c>
      <c r="E71" s="1" t="s">
        <v>151</v>
      </c>
      <c r="F71" s="1">
        <v>11</v>
      </c>
      <c r="G71" s="3">
        <v>11.9</v>
      </c>
      <c r="H71" s="3">
        <v>0</v>
      </c>
      <c r="I71" s="3">
        <v>130.9</v>
      </c>
      <c r="J71" s="2" t="s">
        <v>18</v>
      </c>
      <c r="K71" s="2" t="s">
        <v>19</v>
      </c>
      <c r="L71" s="1" t="s">
        <v>37</v>
      </c>
      <c r="M71" s="1">
        <v>12</v>
      </c>
      <c r="N71" s="12">
        <v>2024</v>
      </c>
    </row>
    <row r="72" spans="1:14" ht="25.5" x14ac:dyDescent="0.25">
      <c r="A72" s="11">
        <v>297</v>
      </c>
      <c r="B72" s="1" t="s">
        <v>149</v>
      </c>
      <c r="C72" s="2" t="s">
        <v>144</v>
      </c>
      <c r="D72" s="1" t="s">
        <v>29</v>
      </c>
      <c r="E72" s="1" t="s">
        <v>145</v>
      </c>
      <c r="F72" s="1">
        <v>3</v>
      </c>
      <c r="G72" s="3">
        <v>3.9</v>
      </c>
      <c r="H72" s="3">
        <v>0.57999999999999996</v>
      </c>
      <c r="I72" s="3">
        <v>11.12</v>
      </c>
      <c r="J72" s="2" t="s">
        <v>40</v>
      </c>
      <c r="K72" s="2" t="s">
        <v>32</v>
      </c>
      <c r="L72" s="1" t="s">
        <v>37</v>
      </c>
      <c r="M72" s="1">
        <v>12</v>
      </c>
      <c r="N72" s="12">
        <v>2024</v>
      </c>
    </row>
    <row r="73" spans="1:14" ht="25.5" x14ac:dyDescent="0.25">
      <c r="A73" s="11">
        <v>115</v>
      </c>
      <c r="B73" s="1" t="s">
        <v>152</v>
      </c>
      <c r="C73" s="2" t="s">
        <v>136</v>
      </c>
      <c r="D73" s="1" t="s">
        <v>35</v>
      </c>
      <c r="E73" s="1" t="s">
        <v>137</v>
      </c>
      <c r="F73" s="1">
        <v>10</v>
      </c>
      <c r="G73" s="3">
        <v>4.9000000000000004</v>
      </c>
      <c r="H73" s="3">
        <v>0</v>
      </c>
      <c r="I73" s="3">
        <v>49</v>
      </c>
      <c r="J73" s="2" t="s">
        <v>31</v>
      </c>
      <c r="K73" s="2" t="s">
        <v>19</v>
      </c>
      <c r="L73" s="1" t="s">
        <v>41</v>
      </c>
      <c r="M73" s="1">
        <v>2</v>
      </c>
      <c r="N73" s="12">
        <v>2024</v>
      </c>
    </row>
    <row r="74" spans="1:14" x14ac:dyDescent="0.25">
      <c r="A74" s="11">
        <v>159</v>
      </c>
      <c r="B74" s="1" t="s">
        <v>153</v>
      </c>
      <c r="C74" s="2" t="s">
        <v>154</v>
      </c>
      <c r="D74" s="1" t="s">
        <v>29</v>
      </c>
      <c r="E74" s="1" t="s">
        <v>127</v>
      </c>
      <c r="F74" s="1">
        <v>8</v>
      </c>
      <c r="G74" s="3">
        <v>8.5</v>
      </c>
      <c r="H74" s="3">
        <v>0</v>
      </c>
      <c r="I74" s="3">
        <v>68</v>
      </c>
      <c r="J74" s="2" t="s">
        <v>45</v>
      </c>
      <c r="K74" s="2" t="s">
        <v>19</v>
      </c>
      <c r="L74" s="1" t="s">
        <v>71</v>
      </c>
      <c r="M74" s="1">
        <v>4</v>
      </c>
      <c r="N74" s="12">
        <v>2024</v>
      </c>
    </row>
    <row r="75" spans="1:14" x14ac:dyDescent="0.25">
      <c r="A75" s="11">
        <v>129</v>
      </c>
      <c r="B75" s="1" t="s">
        <v>155</v>
      </c>
      <c r="C75" s="2" t="s">
        <v>85</v>
      </c>
      <c r="D75" s="1" t="s">
        <v>23</v>
      </c>
      <c r="E75" s="1" t="s">
        <v>86</v>
      </c>
      <c r="F75" s="1">
        <v>16</v>
      </c>
      <c r="G75" s="3">
        <v>7.9</v>
      </c>
      <c r="H75" s="3">
        <v>0</v>
      </c>
      <c r="I75" s="3">
        <v>126.4</v>
      </c>
      <c r="J75" s="2" t="s">
        <v>40</v>
      </c>
      <c r="K75" s="2" t="s">
        <v>26</v>
      </c>
      <c r="L75" s="1" t="s">
        <v>51</v>
      </c>
      <c r="M75" s="1">
        <v>5</v>
      </c>
      <c r="N75" s="12">
        <v>2024</v>
      </c>
    </row>
    <row r="76" spans="1:14" x14ac:dyDescent="0.25">
      <c r="A76" s="11">
        <v>274</v>
      </c>
      <c r="B76" s="1" t="s">
        <v>156</v>
      </c>
      <c r="C76" s="2" t="s">
        <v>48</v>
      </c>
      <c r="D76" s="1" t="s">
        <v>23</v>
      </c>
      <c r="E76" s="1" t="s">
        <v>49</v>
      </c>
      <c r="F76" s="1">
        <v>18</v>
      </c>
      <c r="G76" s="3">
        <v>18.899999999999999</v>
      </c>
      <c r="H76" s="3">
        <v>0</v>
      </c>
      <c r="I76" s="3">
        <v>340.2</v>
      </c>
      <c r="J76" s="2" t="s">
        <v>50</v>
      </c>
      <c r="K76" s="2" t="s">
        <v>26</v>
      </c>
      <c r="L76" s="1" t="s">
        <v>89</v>
      </c>
      <c r="M76" s="1">
        <v>7</v>
      </c>
      <c r="N76" s="12">
        <v>2024</v>
      </c>
    </row>
    <row r="77" spans="1:14" x14ac:dyDescent="0.25">
      <c r="A77" s="11">
        <v>141</v>
      </c>
      <c r="B77" s="1" t="s">
        <v>157</v>
      </c>
      <c r="C77" s="2" t="s">
        <v>79</v>
      </c>
      <c r="D77" s="1" t="s">
        <v>29</v>
      </c>
      <c r="E77" s="1" t="s">
        <v>80</v>
      </c>
      <c r="F77" s="1">
        <v>21</v>
      </c>
      <c r="G77" s="3">
        <v>7.9</v>
      </c>
      <c r="H77" s="3">
        <v>8.2899999999999991</v>
      </c>
      <c r="I77" s="3">
        <v>181.25</v>
      </c>
      <c r="J77" s="2" t="s">
        <v>40</v>
      </c>
      <c r="K77" s="2" t="s">
        <v>32</v>
      </c>
      <c r="L77" s="1" t="s">
        <v>58</v>
      </c>
      <c r="M77" s="1">
        <v>8</v>
      </c>
      <c r="N77" s="12">
        <v>2024</v>
      </c>
    </row>
    <row r="78" spans="1:14" ht="25.5" x14ac:dyDescent="0.25">
      <c r="A78" s="11">
        <v>269</v>
      </c>
      <c r="B78" s="1" t="s">
        <v>158</v>
      </c>
      <c r="C78" s="2" t="s">
        <v>159</v>
      </c>
      <c r="D78" s="1" t="s">
        <v>35</v>
      </c>
      <c r="E78" s="1" t="s">
        <v>137</v>
      </c>
      <c r="F78" s="1">
        <v>28</v>
      </c>
      <c r="G78" s="3">
        <v>5.9</v>
      </c>
      <c r="H78" s="3">
        <v>0</v>
      </c>
      <c r="I78" s="3">
        <v>165.2</v>
      </c>
      <c r="J78" s="2" t="s">
        <v>18</v>
      </c>
      <c r="K78" s="2" t="s">
        <v>19</v>
      </c>
      <c r="L78" s="1" t="s">
        <v>27</v>
      </c>
      <c r="M78" s="1">
        <v>10</v>
      </c>
      <c r="N78" s="12">
        <v>2024</v>
      </c>
    </row>
    <row r="79" spans="1:14" ht="25.5" x14ac:dyDescent="0.25">
      <c r="A79" s="11">
        <v>69</v>
      </c>
      <c r="B79" s="1" t="s">
        <v>160</v>
      </c>
      <c r="C79" s="2" t="s">
        <v>161</v>
      </c>
      <c r="D79" s="1" t="s">
        <v>16</v>
      </c>
      <c r="E79" s="1" t="s">
        <v>119</v>
      </c>
      <c r="F79" s="1">
        <v>17</v>
      </c>
      <c r="G79" s="3">
        <v>5.9</v>
      </c>
      <c r="H79" s="3">
        <v>0</v>
      </c>
      <c r="I79" s="3">
        <v>100.3</v>
      </c>
      <c r="J79" s="2" t="s">
        <v>40</v>
      </c>
      <c r="K79" s="2" t="s">
        <v>26</v>
      </c>
      <c r="L79" s="1" t="s">
        <v>65</v>
      </c>
      <c r="M79" s="1">
        <v>11</v>
      </c>
      <c r="N79" s="12">
        <v>2024</v>
      </c>
    </row>
    <row r="80" spans="1:14" x14ac:dyDescent="0.25">
      <c r="A80" s="11">
        <v>246</v>
      </c>
      <c r="B80" s="1" t="s">
        <v>162</v>
      </c>
      <c r="C80" s="2" t="s">
        <v>150</v>
      </c>
      <c r="D80" s="1" t="s">
        <v>29</v>
      </c>
      <c r="E80" s="1" t="s">
        <v>151</v>
      </c>
      <c r="F80" s="1">
        <v>15</v>
      </c>
      <c r="G80" s="3">
        <v>11.9</v>
      </c>
      <c r="H80" s="3">
        <v>0</v>
      </c>
      <c r="I80" s="3">
        <v>178.5</v>
      </c>
      <c r="J80" s="2" t="s">
        <v>40</v>
      </c>
      <c r="K80" s="2" t="s">
        <v>26</v>
      </c>
      <c r="L80" s="1" t="s">
        <v>46</v>
      </c>
      <c r="M80" s="1">
        <v>3</v>
      </c>
      <c r="N80" s="12">
        <v>2024</v>
      </c>
    </row>
    <row r="81" spans="1:14" x14ac:dyDescent="0.25">
      <c r="A81" s="11">
        <v>63</v>
      </c>
      <c r="B81" s="1" t="s">
        <v>163</v>
      </c>
      <c r="C81" s="2" t="s">
        <v>60</v>
      </c>
      <c r="D81" s="1" t="s">
        <v>61</v>
      </c>
      <c r="E81" s="1" t="s">
        <v>62</v>
      </c>
      <c r="F81" s="1">
        <v>7</v>
      </c>
      <c r="G81" s="3">
        <v>12.9</v>
      </c>
      <c r="H81" s="3">
        <v>0</v>
      </c>
      <c r="I81" s="3">
        <v>90.3</v>
      </c>
      <c r="J81" s="2" t="s">
        <v>45</v>
      </c>
      <c r="K81" s="2" t="s">
        <v>19</v>
      </c>
      <c r="L81" s="1" t="s">
        <v>53</v>
      </c>
      <c r="M81" s="1">
        <v>6</v>
      </c>
      <c r="N81" s="12">
        <v>2024</v>
      </c>
    </row>
    <row r="82" spans="1:14" x14ac:dyDescent="0.25">
      <c r="A82" s="11">
        <v>189</v>
      </c>
      <c r="B82" s="1" t="s">
        <v>163</v>
      </c>
      <c r="C82" s="2" t="s">
        <v>60</v>
      </c>
      <c r="D82" s="1" t="s">
        <v>61</v>
      </c>
      <c r="E82" s="1" t="s">
        <v>62</v>
      </c>
      <c r="F82" s="1">
        <v>11</v>
      </c>
      <c r="G82" s="3">
        <v>12.9</v>
      </c>
      <c r="H82" s="3">
        <v>0</v>
      </c>
      <c r="I82" s="3">
        <v>141.9</v>
      </c>
      <c r="J82" s="2" t="s">
        <v>18</v>
      </c>
      <c r="K82" s="2" t="s">
        <v>26</v>
      </c>
      <c r="L82" s="1" t="s">
        <v>53</v>
      </c>
      <c r="M82" s="1">
        <v>6</v>
      </c>
      <c r="N82" s="12">
        <v>2024</v>
      </c>
    </row>
    <row r="83" spans="1:14" x14ac:dyDescent="0.25">
      <c r="A83" s="11">
        <v>39</v>
      </c>
      <c r="B83" s="1" t="s">
        <v>164</v>
      </c>
      <c r="C83" s="2" t="s">
        <v>139</v>
      </c>
      <c r="D83" s="1" t="s">
        <v>68</v>
      </c>
      <c r="E83" s="1" t="s">
        <v>17</v>
      </c>
      <c r="F83" s="1">
        <v>29</v>
      </c>
      <c r="G83" s="3">
        <v>4.5</v>
      </c>
      <c r="H83" s="3">
        <v>13.05</v>
      </c>
      <c r="I83" s="3">
        <v>117.45</v>
      </c>
      <c r="J83" s="2" t="s">
        <v>18</v>
      </c>
      <c r="K83" s="2" t="s">
        <v>32</v>
      </c>
      <c r="L83" s="1" t="s">
        <v>89</v>
      </c>
      <c r="M83" s="1">
        <v>7</v>
      </c>
      <c r="N83" s="12">
        <v>2024</v>
      </c>
    </row>
    <row r="84" spans="1:14" x14ac:dyDescent="0.25">
      <c r="A84" s="11">
        <v>272</v>
      </c>
      <c r="B84" s="1" t="s">
        <v>164</v>
      </c>
      <c r="C84" s="2" t="s">
        <v>115</v>
      </c>
      <c r="D84" s="1" t="s">
        <v>23</v>
      </c>
      <c r="E84" s="1" t="s">
        <v>116</v>
      </c>
      <c r="F84" s="1">
        <v>22</v>
      </c>
      <c r="G84" s="3">
        <v>12.5</v>
      </c>
      <c r="H84" s="3">
        <v>13.75</v>
      </c>
      <c r="I84" s="3">
        <v>261.25</v>
      </c>
      <c r="J84" s="2" t="s">
        <v>25</v>
      </c>
      <c r="K84" s="2" t="s">
        <v>32</v>
      </c>
      <c r="L84" s="1" t="s">
        <v>89</v>
      </c>
      <c r="M84" s="1">
        <v>7</v>
      </c>
      <c r="N84" s="12">
        <v>2024</v>
      </c>
    </row>
    <row r="85" spans="1:14" x14ac:dyDescent="0.25">
      <c r="A85" s="11">
        <v>142</v>
      </c>
      <c r="B85" s="1" t="s">
        <v>165</v>
      </c>
      <c r="C85" s="2" t="s">
        <v>166</v>
      </c>
      <c r="D85" s="1" t="s">
        <v>23</v>
      </c>
      <c r="E85" s="1" t="s">
        <v>101</v>
      </c>
      <c r="F85" s="1">
        <v>24</v>
      </c>
      <c r="G85" s="3">
        <v>4.2</v>
      </c>
      <c r="H85" s="3">
        <v>10.08</v>
      </c>
      <c r="I85" s="3">
        <v>90.72</v>
      </c>
      <c r="J85" s="2" t="s">
        <v>40</v>
      </c>
      <c r="K85" s="2" t="s">
        <v>19</v>
      </c>
      <c r="L85" s="1" t="s">
        <v>58</v>
      </c>
      <c r="M85" s="1">
        <v>8</v>
      </c>
      <c r="N85" s="12">
        <v>2024</v>
      </c>
    </row>
    <row r="86" spans="1:14" ht="25.5" x14ac:dyDescent="0.25">
      <c r="A86" s="11">
        <v>41</v>
      </c>
      <c r="B86" s="1" t="s">
        <v>167</v>
      </c>
      <c r="C86" s="2" t="s">
        <v>112</v>
      </c>
      <c r="D86" s="1" t="s">
        <v>61</v>
      </c>
      <c r="E86" s="1" t="s">
        <v>113</v>
      </c>
      <c r="F86" s="1">
        <v>19</v>
      </c>
      <c r="G86" s="3">
        <v>4.9000000000000004</v>
      </c>
      <c r="H86" s="3">
        <v>0</v>
      </c>
      <c r="I86" s="3">
        <v>93.1</v>
      </c>
      <c r="J86" s="2" t="s">
        <v>25</v>
      </c>
      <c r="K86" s="2" t="s">
        <v>32</v>
      </c>
      <c r="L86" s="1" t="s">
        <v>27</v>
      </c>
      <c r="M86" s="1">
        <v>10</v>
      </c>
      <c r="N86" s="12">
        <v>2024</v>
      </c>
    </row>
    <row r="87" spans="1:14" ht="25.5" x14ac:dyDescent="0.25">
      <c r="A87" s="11">
        <v>97</v>
      </c>
      <c r="B87" s="1" t="s">
        <v>167</v>
      </c>
      <c r="C87" s="2" t="s">
        <v>48</v>
      </c>
      <c r="D87" s="1" t="s">
        <v>23</v>
      </c>
      <c r="E87" s="1" t="s">
        <v>49</v>
      </c>
      <c r="F87" s="1">
        <v>7</v>
      </c>
      <c r="G87" s="3">
        <v>18.899999999999999</v>
      </c>
      <c r="H87" s="3">
        <v>6.61</v>
      </c>
      <c r="I87" s="3">
        <v>125.69</v>
      </c>
      <c r="J87" s="2" t="s">
        <v>40</v>
      </c>
      <c r="K87" s="2" t="s">
        <v>19</v>
      </c>
      <c r="L87" s="1" t="s">
        <v>27</v>
      </c>
      <c r="M87" s="1">
        <v>10</v>
      </c>
      <c r="N87" s="12">
        <v>2024</v>
      </c>
    </row>
    <row r="88" spans="1:14" ht="25.5" x14ac:dyDescent="0.25">
      <c r="A88" s="11">
        <v>255</v>
      </c>
      <c r="B88" s="1" t="s">
        <v>167</v>
      </c>
      <c r="C88" s="2" t="s">
        <v>91</v>
      </c>
      <c r="D88" s="7" t="s">
        <v>168</v>
      </c>
      <c r="E88" s="1" t="s">
        <v>30</v>
      </c>
      <c r="F88" s="1">
        <v>19</v>
      </c>
      <c r="G88" s="3">
        <v>4.5</v>
      </c>
      <c r="H88" s="3">
        <v>0</v>
      </c>
      <c r="I88" s="3">
        <v>85.5</v>
      </c>
      <c r="J88" s="2" t="s">
        <v>45</v>
      </c>
      <c r="K88" s="2" t="s">
        <v>19</v>
      </c>
      <c r="L88" s="1" t="s">
        <v>27</v>
      </c>
      <c r="M88" s="1">
        <v>10</v>
      </c>
      <c r="N88" s="12">
        <v>2024</v>
      </c>
    </row>
    <row r="89" spans="1:14" ht="25.5" x14ac:dyDescent="0.25">
      <c r="A89" s="11">
        <v>62</v>
      </c>
      <c r="B89" s="1" t="s">
        <v>169</v>
      </c>
      <c r="C89" s="2" t="s">
        <v>134</v>
      </c>
      <c r="D89" s="1" t="s">
        <v>68</v>
      </c>
      <c r="E89" s="1" t="s">
        <v>17</v>
      </c>
      <c r="F89" s="1">
        <v>22</v>
      </c>
      <c r="G89" s="3">
        <v>0.75</v>
      </c>
      <c r="H89" s="3">
        <v>1.65</v>
      </c>
      <c r="I89" s="3">
        <v>14.85</v>
      </c>
      <c r="J89" s="2" t="s">
        <v>50</v>
      </c>
      <c r="K89" s="2" t="s">
        <v>26</v>
      </c>
      <c r="L89" s="1" t="s">
        <v>41</v>
      </c>
      <c r="M89" s="1">
        <v>2</v>
      </c>
      <c r="N89" s="12">
        <v>2024</v>
      </c>
    </row>
    <row r="90" spans="1:14" ht="25.5" x14ac:dyDescent="0.25">
      <c r="A90" s="11">
        <v>171</v>
      </c>
      <c r="B90" s="1" t="s">
        <v>169</v>
      </c>
      <c r="C90" s="2" t="s">
        <v>100</v>
      </c>
      <c r="D90" s="1" t="s">
        <v>23</v>
      </c>
      <c r="E90" s="1" t="s">
        <v>101</v>
      </c>
      <c r="F90" s="1">
        <v>8</v>
      </c>
      <c r="G90" s="3">
        <v>5.9</v>
      </c>
      <c r="H90" s="3">
        <v>0</v>
      </c>
      <c r="I90" s="3">
        <v>47.2</v>
      </c>
      <c r="J90" s="2" t="s">
        <v>50</v>
      </c>
      <c r="K90" s="2" t="s">
        <v>32</v>
      </c>
      <c r="L90" s="1" t="s">
        <v>41</v>
      </c>
      <c r="M90" s="1">
        <v>2</v>
      </c>
      <c r="N90" s="12">
        <v>2024</v>
      </c>
    </row>
    <row r="91" spans="1:14" x14ac:dyDescent="0.25">
      <c r="A91" s="11">
        <v>225</v>
      </c>
      <c r="B91" s="1" t="s">
        <v>170</v>
      </c>
      <c r="C91" s="2" t="s">
        <v>150</v>
      </c>
      <c r="D91" s="1" t="s">
        <v>29</v>
      </c>
      <c r="E91" s="1" t="s">
        <v>151</v>
      </c>
      <c r="F91" s="1">
        <v>28</v>
      </c>
      <c r="G91" s="3">
        <v>11.9</v>
      </c>
      <c r="H91" s="3">
        <v>16.66</v>
      </c>
      <c r="I91" s="3">
        <v>316.54000000000002</v>
      </c>
      <c r="J91" s="2" t="s">
        <v>25</v>
      </c>
      <c r="K91" s="2" t="s">
        <v>32</v>
      </c>
      <c r="L91" s="1" t="s">
        <v>71</v>
      </c>
      <c r="M91" s="1">
        <v>4</v>
      </c>
      <c r="N91" s="12">
        <v>2024</v>
      </c>
    </row>
    <row r="92" spans="1:14" x14ac:dyDescent="0.25">
      <c r="A92" s="11">
        <v>236</v>
      </c>
      <c r="B92" s="1" t="s">
        <v>171</v>
      </c>
      <c r="C92" s="2" t="s">
        <v>172</v>
      </c>
      <c r="D92" s="1" t="s">
        <v>56</v>
      </c>
      <c r="E92" s="1" t="s">
        <v>57</v>
      </c>
      <c r="F92" s="1">
        <v>26</v>
      </c>
      <c r="G92" s="3">
        <v>89.9</v>
      </c>
      <c r="H92" s="3">
        <v>0</v>
      </c>
      <c r="I92" s="3">
        <v>2337.4</v>
      </c>
      <c r="J92" s="2" t="s">
        <v>40</v>
      </c>
      <c r="K92" s="2" t="s">
        <v>19</v>
      </c>
      <c r="L92" s="1" t="s">
        <v>51</v>
      </c>
      <c r="M92" s="1">
        <v>5</v>
      </c>
      <c r="N92" s="12">
        <v>2024</v>
      </c>
    </row>
    <row r="93" spans="1:14" x14ac:dyDescent="0.25">
      <c r="A93" s="11">
        <v>136</v>
      </c>
      <c r="B93" s="1" t="s">
        <v>173</v>
      </c>
      <c r="C93" s="2" t="s">
        <v>67</v>
      </c>
      <c r="D93" s="1" t="s">
        <v>68</v>
      </c>
      <c r="E93" s="1" t="s">
        <v>49</v>
      </c>
      <c r="F93" s="1">
        <v>23</v>
      </c>
      <c r="G93" s="3">
        <v>8.9</v>
      </c>
      <c r="H93" s="3">
        <v>0</v>
      </c>
      <c r="I93" s="3">
        <v>204.7</v>
      </c>
      <c r="J93" s="2" t="s">
        <v>25</v>
      </c>
      <c r="K93" s="2" t="s">
        <v>26</v>
      </c>
      <c r="L93" s="1" t="s">
        <v>89</v>
      </c>
      <c r="M93" s="1">
        <v>7</v>
      </c>
      <c r="N93" s="12">
        <v>2024</v>
      </c>
    </row>
    <row r="94" spans="1:14" x14ac:dyDescent="0.25">
      <c r="A94" s="11">
        <v>298</v>
      </c>
      <c r="B94" s="1" t="s">
        <v>174</v>
      </c>
      <c r="C94" s="2" t="s">
        <v>175</v>
      </c>
      <c r="D94" s="1" t="s">
        <v>23</v>
      </c>
      <c r="E94" s="1" t="s">
        <v>24</v>
      </c>
      <c r="F94" s="1">
        <v>15</v>
      </c>
      <c r="G94" s="3">
        <v>8.5</v>
      </c>
      <c r="H94" s="3">
        <v>0</v>
      </c>
      <c r="I94" s="3">
        <v>127.5</v>
      </c>
      <c r="J94" s="2" t="s">
        <v>31</v>
      </c>
      <c r="K94" s="2" t="s">
        <v>26</v>
      </c>
      <c r="L94" s="1" t="s">
        <v>58</v>
      </c>
      <c r="M94" s="1">
        <v>8</v>
      </c>
      <c r="N94" s="12">
        <v>2024</v>
      </c>
    </row>
    <row r="95" spans="1:14" ht="25.5" x14ac:dyDescent="0.25">
      <c r="A95" s="11">
        <v>229</v>
      </c>
      <c r="B95" s="1" t="s">
        <v>176</v>
      </c>
      <c r="C95" s="2" t="s">
        <v>154</v>
      </c>
      <c r="D95" s="1" t="s">
        <v>29</v>
      </c>
      <c r="E95" s="1" t="s">
        <v>127</v>
      </c>
      <c r="F95" s="1">
        <v>25</v>
      </c>
      <c r="G95" s="3">
        <v>8.5</v>
      </c>
      <c r="H95" s="3">
        <v>0</v>
      </c>
      <c r="I95" s="3">
        <v>212.5</v>
      </c>
      <c r="J95" s="2" t="s">
        <v>50</v>
      </c>
      <c r="K95" s="2" t="s">
        <v>19</v>
      </c>
      <c r="L95" s="1" t="s">
        <v>105</v>
      </c>
      <c r="M95" s="1">
        <v>9</v>
      </c>
      <c r="N95" s="12">
        <v>2024</v>
      </c>
    </row>
    <row r="96" spans="1:14" ht="25.5" x14ac:dyDescent="0.25">
      <c r="A96" s="11">
        <v>279</v>
      </c>
      <c r="B96" s="1" t="s">
        <v>177</v>
      </c>
      <c r="C96" s="2" t="s">
        <v>79</v>
      </c>
      <c r="D96" s="1" t="s">
        <v>29</v>
      </c>
      <c r="E96" s="1" t="s">
        <v>80</v>
      </c>
      <c r="F96" s="1">
        <v>4</v>
      </c>
      <c r="G96" s="3">
        <v>7.9</v>
      </c>
      <c r="H96" s="3">
        <v>0</v>
      </c>
      <c r="I96" s="3">
        <v>31.6</v>
      </c>
      <c r="J96" s="2" t="s">
        <v>50</v>
      </c>
      <c r="K96" s="2" t="s">
        <v>32</v>
      </c>
      <c r="L96" s="1" t="s">
        <v>27</v>
      </c>
      <c r="M96" s="1">
        <v>10</v>
      </c>
      <c r="N96" s="12">
        <v>2024</v>
      </c>
    </row>
    <row r="97" spans="1:14" ht="25.5" x14ac:dyDescent="0.25">
      <c r="A97" s="11">
        <v>143</v>
      </c>
      <c r="B97" s="1" t="s">
        <v>178</v>
      </c>
      <c r="C97" s="2" t="s">
        <v>122</v>
      </c>
      <c r="D97" s="1" t="s">
        <v>74</v>
      </c>
      <c r="E97" s="1" t="s">
        <v>57</v>
      </c>
      <c r="F97" s="1">
        <v>25</v>
      </c>
      <c r="G97" s="3">
        <v>7.9</v>
      </c>
      <c r="H97" s="3">
        <v>9.8800000000000008</v>
      </c>
      <c r="I97" s="3">
        <v>187.62</v>
      </c>
      <c r="J97" s="2" t="s">
        <v>18</v>
      </c>
      <c r="K97" s="2" t="s">
        <v>19</v>
      </c>
      <c r="L97" s="1" t="s">
        <v>65</v>
      </c>
      <c r="M97" s="1">
        <v>11</v>
      </c>
      <c r="N97" s="12">
        <v>2024</v>
      </c>
    </row>
    <row r="98" spans="1:14" ht="25.5" x14ac:dyDescent="0.25">
      <c r="A98" s="11">
        <v>238</v>
      </c>
      <c r="B98" s="1" t="s">
        <v>179</v>
      </c>
      <c r="C98" s="2" t="s">
        <v>67</v>
      </c>
      <c r="D98" s="1" t="s">
        <v>68</v>
      </c>
      <c r="E98" s="1" t="s">
        <v>49</v>
      </c>
      <c r="F98" s="1">
        <v>28</v>
      </c>
      <c r="G98" s="3">
        <v>8.9</v>
      </c>
      <c r="H98" s="3">
        <v>24.92</v>
      </c>
      <c r="I98" s="3">
        <v>224.28</v>
      </c>
      <c r="J98" s="2" t="s">
        <v>31</v>
      </c>
      <c r="K98" s="2" t="s">
        <v>32</v>
      </c>
      <c r="L98" s="1" t="s">
        <v>37</v>
      </c>
      <c r="M98" s="1">
        <v>12</v>
      </c>
      <c r="N98" s="12">
        <v>2024</v>
      </c>
    </row>
    <row r="99" spans="1:14" x14ac:dyDescent="0.25">
      <c r="A99" s="11">
        <v>2</v>
      </c>
      <c r="B99" s="1" t="s">
        <v>180</v>
      </c>
      <c r="C99" s="2" t="s">
        <v>103</v>
      </c>
      <c r="D99" s="1" t="s">
        <v>35</v>
      </c>
      <c r="E99" s="1" t="s">
        <v>95</v>
      </c>
      <c r="F99" s="1">
        <v>4</v>
      </c>
      <c r="G99" s="3">
        <v>54.9</v>
      </c>
      <c r="H99" s="3">
        <v>21.96</v>
      </c>
      <c r="I99" s="3">
        <v>197.64</v>
      </c>
      <c r="J99" s="2" t="s">
        <v>25</v>
      </c>
      <c r="K99" s="2" t="s">
        <v>26</v>
      </c>
      <c r="L99" s="1" t="s">
        <v>46</v>
      </c>
      <c r="M99" s="1">
        <v>3</v>
      </c>
      <c r="N99" s="12">
        <v>2024</v>
      </c>
    </row>
    <row r="100" spans="1:14" x14ac:dyDescent="0.25">
      <c r="A100" s="11">
        <v>50</v>
      </c>
      <c r="B100" s="1" t="s">
        <v>180</v>
      </c>
      <c r="C100" s="2" t="s">
        <v>108</v>
      </c>
      <c r="D100" s="1" t="s">
        <v>68</v>
      </c>
      <c r="E100" s="1" t="s">
        <v>49</v>
      </c>
      <c r="F100" s="1">
        <v>6</v>
      </c>
      <c r="G100" s="3">
        <v>24.9</v>
      </c>
      <c r="H100" s="3">
        <v>0</v>
      </c>
      <c r="I100" s="3">
        <v>149.4</v>
      </c>
      <c r="J100" s="2" t="s">
        <v>18</v>
      </c>
      <c r="K100" s="2" t="s">
        <v>32</v>
      </c>
      <c r="L100" s="1" t="s">
        <v>46</v>
      </c>
      <c r="M100" s="1">
        <v>3</v>
      </c>
      <c r="N100" s="12">
        <v>2024</v>
      </c>
    </row>
    <row r="101" spans="1:14" x14ac:dyDescent="0.25">
      <c r="A101" s="11">
        <v>38</v>
      </c>
      <c r="B101" s="1" t="s">
        <v>181</v>
      </c>
      <c r="C101" s="2" t="s">
        <v>136</v>
      </c>
      <c r="D101" s="1" t="s">
        <v>35</v>
      </c>
      <c r="E101" s="1" t="s">
        <v>137</v>
      </c>
      <c r="F101" s="1">
        <v>10</v>
      </c>
      <c r="G101" s="3">
        <v>4.9000000000000004</v>
      </c>
      <c r="H101" s="3">
        <v>2.4500000000000002</v>
      </c>
      <c r="I101" s="3">
        <v>53.53</v>
      </c>
      <c r="J101" s="2" t="s">
        <v>40</v>
      </c>
      <c r="K101" s="2" t="s">
        <v>26</v>
      </c>
      <c r="L101" s="1" t="s">
        <v>71</v>
      </c>
      <c r="M101" s="1">
        <v>4</v>
      </c>
      <c r="N101" s="12">
        <v>2024</v>
      </c>
    </row>
    <row r="102" spans="1:14" x14ac:dyDescent="0.25">
      <c r="A102" s="11">
        <v>85</v>
      </c>
      <c r="B102" s="1" t="s">
        <v>181</v>
      </c>
      <c r="C102" s="2" t="s">
        <v>55</v>
      </c>
      <c r="D102" s="1" t="s">
        <v>56</v>
      </c>
      <c r="E102" s="1" t="s">
        <v>57</v>
      </c>
      <c r="F102" s="1">
        <v>12</v>
      </c>
      <c r="G102" s="3">
        <v>22.9</v>
      </c>
      <c r="H102" s="3">
        <v>0</v>
      </c>
      <c r="I102" s="3">
        <v>274.8</v>
      </c>
      <c r="J102" s="2" t="s">
        <v>45</v>
      </c>
      <c r="K102" s="2" t="s">
        <v>32</v>
      </c>
      <c r="L102" s="1" t="s">
        <v>71</v>
      </c>
      <c r="M102" s="1">
        <v>4</v>
      </c>
      <c r="N102" s="12">
        <v>2024</v>
      </c>
    </row>
    <row r="103" spans="1:14" x14ac:dyDescent="0.25">
      <c r="A103" s="11">
        <v>116</v>
      </c>
      <c r="B103" s="1" t="s">
        <v>182</v>
      </c>
      <c r="C103" s="2" t="s">
        <v>122</v>
      </c>
      <c r="D103" s="1" t="s">
        <v>74</v>
      </c>
      <c r="E103" s="1" t="s">
        <v>57</v>
      </c>
      <c r="F103" s="1">
        <v>3</v>
      </c>
      <c r="G103" s="3">
        <v>7.9</v>
      </c>
      <c r="H103" s="3">
        <v>0</v>
      </c>
      <c r="I103" s="3">
        <v>23.7</v>
      </c>
      <c r="J103" s="2" t="s">
        <v>45</v>
      </c>
      <c r="K103" s="2" t="s">
        <v>32</v>
      </c>
      <c r="L103" s="1" t="s">
        <v>53</v>
      </c>
      <c r="M103" s="1">
        <v>6</v>
      </c>
      <c r="N103" s="12">
        <v>2024</v>
      </c>
    </row>
    <row r="104" spans="1:14" ht="25.5" x14ac:dyDescent="0.25">
      <c r="A104" s="11">
        <v>214</v>
      </c>
      <c r="B104" s="1" t="s">
        <v>183</v>
      </c>
      <c r="C104" s="2" t="s">
        <v>184</v>
      </c>
      <c r="D104" s="1" t="s">
        <v>23</v>
      </c>
      <c r="E104" s="1" t="s">
        <v>185</v>
      </c>
      <c r="F104" s="1">
        <v>8</v>
      </c>
      <c r="G104" s="3">
        <v>4.9000000000000004</v>
      </c>
      <c r="H104" s="3">
        <v>0</v>
      </c>
      <c r="I104" s="3">
        <v>39.200000000000003</v>
      </c>
      <c r="J104" s="2" t="s">
        <v>45</v>
      </c>
      <c r="K104" s="2" t="s">
        <v>26</v>
      </c>
      <c r="L104" s="1" t="s">
        <v>65</v>
      </c>
      <c r="M104" s="1">
        <v>11</v>
      </c>
      <c r="N104" s="12">
        <v>2024</v>
      </c>
    </row>
    <row r="105" spans="1:14" ht="25.5" x14ac:dyDescent="0.25">
      <c r="A105" s="11">
        <v>98</v>
      </c>
      <c r="B105" s="1" t="s">
        <v>186</v>
      </c>
      <c r="C105" s="2" t="s">
        <v>103</v>
      </c>
      <c r="D105" s="1" t="s">
        <v>35</v>
      </c>
      <c r="E105" s="1" t="s">
        <v>95</v>
      </c>
      <c r="F105" s="1">
        <v>29</v>
      </c>
      <c r="G105" s="3">
        <v>54.9</v>
      </c>
      <c r="H105" s="3">
        <v>0</v>
      </c>
      <c r="I105" s="3">
        <v>1592.1</v>
      </c>
      <c r="J105" s="2" t="s">
        <v>50</v>
      </c>
      <c r="K105" s="2" t="s">
        <v>26</v>
      </c>
      <c r="L105" s="1" t="s">
        <v>37</v>
      </c>
      <c r="M105" s="1">
        <v>12</v>
      </c>
      <c r="N105" s="12">
        <v>2024</v>
      </c>
    </row>
    <row r="106" spans="1:14" x14ac:dyDescent="0.25">
      <c r="A106" s="11">
        <v>86</v>
      </c>
      <c r="B106" s="1" t="s">
        <v>187</v>
      </c>
      <c r="C106" s="2" t="s">
        <v>15</v>
      </c>
      <c r="D106" s="1" t="s">
        <v>16</v>
      </c>
      <c r="E106" s="1" t="s">
        <v>17</v>
      </c>
      <c r="F106" s="1">
        <v>7</v>
      </c>
      <c r="G106" s="3">
        <v>3.9</v>
      </c>
      <c r="H106" s="3">
        <v>1.36</v>
      </c>
      <c r="I106" s="3">
        <v>25.94</v>
      </c>
      <c r="J106" s="2" t="s">
        <v>31</v>
      </c>
      <c r="K106" s="2" t="s">
        <v>19</v>
      </c>
      <c r="L106" s="1" t="s">
        <v>20</v>
      </c>
      <c r="M106" s="1">
        <v>1</v>
      </c>
      <c r="N106" s="12">
        <v>2024</v>
      </c>
    </row>
    <row r="107" spans="1:14" x14ac:dyDescent="0.25">
      <c r="A107" s="11">
        <v>105</v>
      </c>
      <c r="B107" s="1" t="s">
        <v>187</v>
      </c>
      <c r="C107" s="2" t="s">
        <v>64</v>
      </c>
      <c r="D107" s="1" t="s">
        <v>23</v>
      </c>
      <c r="E107" s="1" t="s">
        <v>24</v>
      </c>
      <c r="F107" s="1">
        <v>8</v>
      </c>
      <c r="G107" s="3">
        <v>9.1999999999999993</v>
      </c>
      <c r="H107" s="3">
        <v>3.68</v>
      </c>
      <c r="I107" s="3">
        <v>69.92</v>
      </c>
      <c r="J107" s="2" t="s">
        <v>50</v>
      </c>
      <c r="K107" s="2" t="s">
        <v>32</v>
      </c>
      <c r="L107" s="1" t="s">
        <v>20</v>
      </c>
      <c r="M107" s="1">
        <v>1</v>
      </c>
      <c r="N107" s="12">
        <v>2024</v>
      </c>
    </row>
    <row r="108" spans="1:14" ht="25.5" x14ac:dyDescent="0.25">
      <c r="A108" s="11">
        <v>273</v>
      </c>
      <c r="B108" s="1" t="s">
        <v>188</v>
      </c>
      <c r="C108" s="2" t="s">
        <v>85</v>
      </c>
      <c r="D108" s="1" t="s">
        <v>23</v>
      </c>
      <c r="E108" s="1" t="s">
        <v>86</v>
      </c>
      <c r="F108" s="1">
        <v>14</v>
      </c>
      <c r="G108" s="3">
        <v>7.9</v>
      </c>
      <c r="H108" s="3">
        <v>0</v>
      </c>
      <c r="I108" s="3">
        <v>110.6</v>
      </c>
      <c r="J108" s="2" t="s">
        <v>40</v>
      </c>
      <c r="K108" s="2" t="s">
        <v>26</v>
      </c>
      <c r="L108" s="1" t="s">
        <v>41</v>
      </c>
      <c r="M108" s="1">
        <v>2</v>
      </c>
      <c r="N108" s="12">
        <v>2024</v>
      </c>
    </row>
    <row r="109" spans="1:14" x14ac:dyDescent="0.25">
      <c r="A109" s="11">
        <v>127</v>
      </c>
      <c r="B109" s="1" t="s">
        <v>189</v>
      </c>
      <c r="C109" s="2" t="s">
        <v>150</v>
      </c>
      <c r="D109" s="1" t="s">
        <v>29</v>
      </c>
      <c r="E109" s="1" t="s">
        <v>151</v>
      </c>
      <c r="F109" s="1">
        <v>11</v>
      </c>
      <c r="G109" s="3">
        <v>11.9</v>
      </c>
      <c r="H109" s="3">
        <v>0</v>
      </c>
      <c r="I109" s="3">
        <v>130.9</v>
      </c>
      <c r="J109" s="2" t="s">
        <v>18</v>
      </c>
      <c r="K109" s="2" t="s">
        <v>19</v>
      </c>
      <c r="L109" s="1" t="s">
        <v>51</v>
      </c>
      <c r="M109" s="1">
        <v>5</v>
      </c>
      <c r="N109" s="12">
        <v>2024</v>
      </c>
    </row>
    <row r="110" spans="1:14" x14ac:dyDescent="0.25">
      <c r="A110" s="11">
        <v>101</v>
      </c>
      <c r="B110" s="1" t="s">
        <v>190</v>
      </c>
      <c r="C110" s="2" t="s">
        <v>55</v>
      </c>
      <c r="D110" s="1" t="s">
        <v>56</v>
      </c>
      <c r="E110" s="1" t="s">
        <v>57</v>
      </c>
      <c r="F110" s="1">
        <v>15</v>
      </c>
      <c r="G110" s="3">
        <v>22.9</v>
      </c>
      <c r="H110" s="3">
        <v>17.18</v>
      </c>
      <c r="I110" s="3">
        <v>326.32</v>
      </c>
      <c r="J110" s="2" t="s">
        <v>40</v>
      </c>
      <c r="K110" s="2" t="s">
        <v>32</v>
      </c>
      <c r="L110" s="1" t="s">
        <v>53</v>
      </c>
      <c r="M110" s="1">
        <v>6</v>
      </c>
      <c r="N110" s="12">
        <v>2024</v>
      </c>
    </row>
    <row r="111" spans="1:14" x14ac:dyDescent="0.25">
      <c r="A111" s="11">
        <v>205</v>
      </c>
      <c r="B111" s="1" t="s">
        <v>190</v>
      </c>
      <c r="C111" s="2" t="s">
        <v>132</v>
      </c>
      <c r="D111" s="1" t="s">
        <v>61</v>
      </c>
      <c r="E111" s="1" t="s">
        <v>30</v>
      </c>
      <c r="F111" s="1">
        <v>23</v>
      </c>
      <c r="G111" s="3">
        <v>4.2</v>
      </c>
      <c r="H111" s="3">
        <v>0</v>
      </c>
      <c r="I111" s="3">
        <v>96.6</v>
      </c>
      <c r="J111" s="2" t="s">
        <v>50</v>
      </c>
      <c r="K111" s="2" t="s">
        <v>19</v>
      </c>
      <c r="L111" s="1" t="s">
        <v>53</v>
      </c>
      <c r="M111" s="1">
        <v>6</v>
      </c>
      <c r="N111" s="12">
        <v>2024</v>
      </c>
    </row>
    <row r="112" spans="1:14" x14ac:dyDescent="0.25">
      <c r="A112" s="11">
        <v>265</v>
      </c>
      <c r="B112" s="1" t="s">
        <v>190</v>
      </c>
      <c r="C112" s="2" t="s">
        <v>118</v>
      </c>
      <c r="D112" s="1" t="s">
        <v>16</v>
      </c>
      <c r="E112" s="1" t="s">
        <v>119</v>
      </c>
      <c r="F112" s="1">
        <v>5</v>
      </c>
      <c r="G112" s="3">
        <v>2.5</v>
      </c>
      <c r="H112" s="3">
        <v>0</v>
      </c>
      <c r="I112" s="3">
        <v>12.5</v>
      </c>
      <c r="J112" s="2" t="s">
        <v>45</v>
      </c>
      <c r="K112" s="2" t="s">
        <v>19</v>
      </c>
      <c r="L112" s="1" t="s">
        <v>53</v>
      </c>
      <c r="M112" s="1">
        <v>6</v>
      </c>
      <c r="N112" s="12">
        <v>2024</v>
      </c>
    </row>
    <row r="113" spans="1:14" x14ac:dyDescent="0.25">
      <c r="A113" s="11">
        <v>17</v>
      </c>
      <c r="B113" s="1" t="s">
        <v>191</v>
      </c>
      <c r="C113" s="2" t="s">
        <v>96</v>
      </c>
      <c r="D113" s="1" t="s">
        <v>61</v>
      </c>
      <c r="E113" s="1" t="s">
        <v>62</v>
      </c>
      <c r="F113" s="1">
        <v>30</v>
      </c>
      <c r="G113" s="3">
        <v>9.9</v>
      </c>
      <c r="H113" s="3">
        <v>29.7</v>
      </c>
      <c r="I113" s="3">
        <v>267.3</v>
      </c>
      <c r="J113" s="2" t="s">
        <v>45</v>
      </c>
      <c r="K113" s="2" t="s">
        <v>26</v>
      </c>
      <c r="L113" s="1" t="s">
        <v>89</v>
      </c>
      <c r="M113" s="1">
        <v>7</v>
      </c>
      <c r="N113" s="12">
        <v>2024</v>
      </c>
    </row>
    <row r="114" spans="1:14" x14ac:dyDescent="0.25">
      <c r="A114" s="11">
        <v>168</v>
      </c>
      <c r="B114" s="1" t="s">
        <v>191</v>
      </c>
      <c r="C114" s="2" t="s">
        <v>139</v>
      </c>
      <c r="D114" s="1" t="s">
        <v>68</v>
      </c>
      <c r="E114" s="1" t="s">
        <v>17</v>
      </c>
      <c r="F114" s="1">
        <v>30</v>
      </c>
      <c r="G114" s="3">
        <v>4.5</v>
      </c>
      <c r="H114" s="3">
        <v>6.75</v>
      </c>
      <c r="I114" s="3">
        <v>128.25</v>
      </c>
      <c r="J114" s="2" t="s">
        <v>31</v>
      </c>
      <c r="K114" s="2" t="s">
        <v>26</v>
      </c>
      <c r="L114" s="1" t="s">
        <v>89</v>
      </c>
      <c r="M114" s="1">
        <v>7</v>
      </c>
      <c r="N114" s="12">
        <v>2024</v>
      </c>
    </row>
    <row r="115" spans="1:14" x14ac:dyDescent="0.25">
      <c r="A115" s="11">
        <v>296</v>
      </c>
      <c r="B115" s="1" t="s">
        <v>191</v>
      </c>
      <c r="C115" s="2" t="s">
        <v>122</v>
      </c>
      <c r="D115" s="1" t="s">
        <v>192</v>
      </c>
      <c r="E115" s="1" t="s">
        <v>57</v>
      </c>
      <c r="F115" s="1">
        <v>23</v>
      </c>
      <c r="G115" s="3">
        <v>7.9</v>
      </c>
      <c r="H115" s="3">
        <v>0</v>
      </c>
      <c r="I115" s="3">
        <v>181.7</v>
      </c>
      <c r="J115" s="2" t="s">
        <v>50</v>
      </c>
      <c r="K115" s="2" t="s">
        <v>26</v>
      </c>
      <c r="L115" s="1" t="s">
        <v>89</v>
      </c>
      <c r="M115" s="1">
        <v>7</v>
      </c>
      <c r="N115" s="12">
        <v>2024</v>
      </c>
    </row>
    <row r="116" spans="1:14" x14ac:dyDescent="0.25">
      <c r="A116" s="11">
        <v>163</v>
      </c>
      <c r="B116" s="1" t="s">
        <v>193</v>
      </c>
      <c r="C116" s="2" t="s">
        <v>28</v>
      </c>
      <c r="D116" s="1" t="s">
        <v>29</v>
      </c>
      <c r="E116" s="1" t="s">
        <v>30</v>
      </c>
      <c r="F116" s="1">
        <v>6</v>
      </c>
      <c r="G116" s="3">
        <v>5.9</v>
      </c>
      <c r="H116" s="3">
        <v>0</v>
      </c>
      <c r="I116" s="3">
        <v>35.4</v>
      </c>
      <c r="J116" s="2" t="s">
        <v>31</v>
      </c>
      <c r="K116" s="2" t="s">
        <v>19</v>
      </c>
      <c r="L116" s="1" t="s">
        <v>58</v>
      </c>
      <c r="M116" s="1">
        <v>8</v>
      </c>
      <c r="N116" s="12">
        <v>2024</v>
      </c>
    </row>
    <row r="117" spans="1:14" ht="25.5" x14ac:dyDescent="0.25">
      <c r="A117" s="11">
        <v>242</v>
      </c>
      <c r="B117" s="1" t="s">
        <v>194</v>
      </c>
      <c r="C117" s="2" t="s">
        <v>128</v>
      </c>
      <c r="D117" s="1" t="s">
        <v>74</v>
      </c>
      <c r="E117" s="1" t="s">
        <v>57</v>
      </c>
      <c r="F117" s="1">
        <v>11</v>
      </c>
      <c r="G117" s="3">
        <v>5.9</v>
      </c>
      <c r="H117" s="3">
        <v>6.49</v>
      </c>
      <c r="I117" s="3">
        <v>58.41</v>
      </c>
      <c r="J117" s="2" t="s">
        <v>45</v>
      </c>
      <c r="K117" s="2" t="s">
        <v>26</v>
      </c>
      <c r="L117" s="1" t="s">
        <v>65</v>
      </c>
      <c r="M117" s="1">
        <v>11</v>
      </c>
      <c r="N117" s="12">
        <v>2024</v>
      </c>
    </row>
    <row r="118" spans="1:14" x14ac:dyDescent="0.25">
      <c r="A118" s="11">
        <v>258</v>
      </c>
      <c r="B118" s="1" t="s">
        <v>195</v>
      </c>
      <c r="C118" s="2" t="s">
        <v>48</v>
      </c>
      <c r="D118" s="1" t="s">
        <v>23</v>
      </c>
      <c r="E118" s="1" t="s">
        <v>49</v>
      </c>
      <c r="F118" s="1">
        <v>1</v>
      </c>
      <c r="G118" s="3">
        <v>18.899999999999999</v>
      </c>
      <c r="H118" s="3">
        <v>0</v>
      </c>
      <c r="I118" s="3">
        <v>18.899999999999999</v>
      </c>
      <c r="J118" s="2" t="s">
        <v>45</v>
      </c>
      <c r="K118" s="2" t="s">
        <v>26</v>
      </c>
      <c r="L118" s="1" t="s">
        <v>20</v>
      </c>
      <c r="M118" s="1">
        <v>1</v>
      </c>
      <c r="N118" s="12">
        <v>2024</v>
      </c>
    </row>
    <row r="119" spans="1:14" x14ac:dyDescent="0.25">
      <c r="A119" s="11">
        <v>21</v>
      </c>
      <c r="B119" s="1" t="s">
        <v>196</v>
      </c>
      <c r="C119" s="2" t="s">
        <v>60</v>
      </c>
      <c r="D119" s="1" t="s">
        <v>61</v>
      </c>
      <c r="E119" s="1" t="s">
        <v>62</v>
      </c>
      <c r="F119" s="1">
        <v>5</v>
      </c>
      <c r="G119" s="3">
        <v>12.9</v>
      </c>
      <c r="H119" s="3">
        <v>0</v>
      </c>
      <c r="I119" s="3">
        <v>64.5</v>
      </c>
      <c r="J119" s="2" t="s">
        <v>40</v>
      </c>
      <c r="K119" s="2" t="s">
        <v>26</v>
      </c>
      <c r="L119" s="1" t="s">
        <v>46</v>
      </c>
      <c r="M119" s="1">
        <v>3</v>
      </c>
      <c r="N119" s="12">
        <v>2024</v>
      </c>
    </row>
    <row r="120" spans="1:14" x14ac:dyDescent="0.25">
      <c r="A120" s="11">
        <v>210</v>
      </c>
      <c r="B120" s="1" t="s">
        <v>196</v>
      </c>
      <c r="C120" s="2" t="s">
        <v>134</v>
      </c>
      <c r="D120" s="1" t="s">
        <v>68</v>
      </c>
      <c r="E120" s="1" t="s">
        <v>17</v>
      </c>
      <c r="F120" s="1">
        <v>28</v>
      </c>
      <c r="G120" s="3">
        <v>0.75</v>
      </c>
      <c r="H120" s="3">
        <v>0</v>
      </c>
      <c r="I120" s="3">
        <v>21</v>
      </c>
      <c r="J120" s="2" t="s">
        <v>25</v>
      </c>
      <c r="K120" s="2" t="s">
        <v>19</v>
      </c>
      <c r="L120" s="1" t="s">
        <v>46</v>
      </c>
      <c r="M120" s="1">
        <v>3</v>
      </c>
      <c r="N120" s="12">
        <v>2024</v>
      </c>
    </row>
    <row r="121" spans="1:14" x14ac:dyDescent="0.25">
      <c r="A121" s="11">
        <v>259</v>
      </c>
      <c r="B121" s="1" t="s">
        <v>197</v>
      </c>
      <c r="C121" s="2" t="s">
        <v>175</v>
      </c>
      <c r="D121" s="1" t="s">
        <v>23</v>
      </c>
      <c r="E121" s="1" t="s">
        <v>24</v>
      </c>
      <c r="F121" s="1">
        <v>6</v>
      </c>
      <c r="G121" s="3">
        <v>8.5</v>
      </c>
      <c r="H121" s="3">
        <v>0</v>
      </c>
      <c r="I121" s="3">
        <v>51</v>
      </c>
      <c r="J121" s="2" t="s">
        <v>25</v>
      </c>
      <c r="K121" s="2" t="s">
        <v>32</v>
      </c>
      <c r="L121" s="1" t="s">
        <v>53</v>
      </c>
      <c r="M121" s="1">
        <v>6</v>
      </c>
      <c r="N121" s="12">
        <v>2024</v>
      </c>
    </row>
    <row r="122" spans="1:14" x14ac:dyDescent="0.25">
      <c r="A122" s="11">
        <v>26</v>
      </c>
      <c r="B122" s="6"/>
      <c r="C122" s="2" t="s">
        <v>118</v>
      </c>
      <c r="D122" s="1" t="s">
        <v>16</v>
      </c>
      <c r="E122" s="1" t="s">
        <v>119</v>
      </c>
      <c r="F122" s="1">
        <v>15</v>
      </c>
      <c r="G122" s="3">
        <v>2.5</v>
      </c>
      <c r="H122" s="3">
        <v>3.75</v>
      </c>
      <c r="I122" s="3">
        <v>33.75</v>
      </c>
      <c r="J122" s="2" t="s">
        <v>31</v>
      </c>
      <c r="K122" s="2" t="s">
        <v>26</v>
      </c>
      <c r="L122" s="1" t="s">
        <v>89</v>
      </c>
      <c r="M122" s="1">
        <v>7</v>
      </c>
      <c r="N122" s="12">
        <v>2024</v>
      </c>
    </row>
    <row r="123" spans="1:14" x14ac:dyDescent="0.25">
      <c r="A123" s="11">
        <v>226</v>
      </c>
      <c r="B123" s="1" t="s">
        <v>198</v>
      </c>
      <c r="C123" s="2" t="s">
        <v>73</v>
      </c>
      <c r="D123" s="1" t="s">
        <v>74</v>
      </c>
      <c r="E123" s="1" t="s">
        <v>17</v>
      </c>
      <c r="F123" s="1">
        <v>12</v>
      </c>
      <c r="G123" s="3">
        <v>2.9</v>
      </c>
      <c r="H123" s="3">
        <v>3.48</v>
      </c>
      <c r="I123" s="3">
        <v>31.32</v>
      </c>
      <c r="J123" s="2" t="s">
        <v>31</v>
      </c>
      <c r="K123" s="2" t="s">
        <v>26</v>
      </c>
      <c r="L123" s="1" t="s">
        <v>89</v>
      </c>
      <c r="M123" s="1">
        <v>7</v>
      </c>
      <c r="N123" s="12">
        <v>2024</v>
      </c>
    </row>
    <row r="124" spans="1:14" x14ac:dyDescent="0.25">
      <c r="A124" s="11">
        <v>267</v>
      </c>
      <c r="B124" s="1" t="s">
        <v>198</v>
      </c>
      <c r="C124" s="2" t="s">
        <v>118</v>
      </c>
      <c r="D124" s="1" t="s">
        <v>16</v>
      </c>
      <c r="E124" s="1" t="s">
        <v>119</v>
      </c>
      <c r="F124" s="1">
        <v>17</v>
      </c>
      <c r="G124" s="3">
        <v>2.5</v>
      </c>
      <c r="H124" s="3">
        <v>0</v>
      </c>
      <c r="I124" s="3">
        <v>42.5</v>
      </c>
      <c r="J124" s="2" t="s">
        <v>18</v>
      </c>
      <c r="K124" s="2" t="s">
        <v>26</v>
      </c>
      <c r="L124" s="1" t="s">
        <v>89</v>
      </c>
      <c r="M124" s="1">
        <v>7</v>
      </c>
      <c r="N124" s="12">
        <v>2024</v>
      </c>
    </row>
    <row r="125" spans="1:14" x14ac:dyDescent="0.25">
      <c r="A125" s="11">
        <v>76</v>
      </c>
      <c r="B125" s="1" t="s">
        <v>199</v>
      </c>
      <c r="C125" s="2" t="s">
        <v>128</v>
      </c>
      <c r="D125" s="1" t="s">
        <v>74</v>
      </c>
      <c r="E125" s="1" t="s">
        <v>57</v>
      </c>
      <c r="F125" s="1">
        <v>23</v>
      </c>
      <c r="G125" s="3">
        <v>5.9</v>
      </c>
      <c r="H125" s="3">
        <v>6.79</v>
      </c>
      <c r="I125" s="3">
        <v>128.91</v>
      </c>
      <c r="J125" s="2" t="s">
        <v>50</v>
      </c>
      <c r="K125" s="2" t="s">
        <v>32</v>
      </c>
      <c r="L125" s="1" t="s">
        <v>58</v>
      </c>
      <c r="M125" s="1">
        <v>8</v>
      </c>
      <c r="N125" s="12">
        <v>2024</v>
      </c>
    </row>
    <row r="126" spans="1:14" x14ac:dyDescent="0.25">
      <c r="A126" s="11">
        <v>290</v>
      </c>
      <c r="B126" s="1" t="s">
        <v>199</v>
      </c>
      <c r="C126" s="2" t="s">
        <v>134</v>
      </c>
      <c r="D126" s="1" t="s">
        <v>68</v>
      </c>
      <c r="E126" s="1" t="s">
        <v>17</v>
      </c>
      <c r="F126" s="6"/>
      <c r="G126" s="3">
        <v>0.75</v>
      </c>
      <c r="H126" s="3">
        <v>0</v>
      </c>
      <c r="I126" s="3">
        <v>6.75</v>
      </c>
      <c r="J126" s="2" t="s">
        <v>50</v>
      </c>
      <c r="K126" s="2" t="s">
        <v>32</v>
      </c>
      <c r="L126" s="1" t="s">
        <v>58</v>
      </c>
      <c r="M126" s="1">
        <v>8</v>
      </c>
      <c r="N126" s="12">
        <v>2024</v>
      </c>
    </row>
    <row r="127" spans="1:14" ht="25.5" x14ac:dyDescent="0.25">
      <c r="A127" s="11">
        <v>275</v>
      </c>
      <c r="B127" s="1" t="s">
        <v>200</v>
      </c>
      <c r="C127" s="2" t="s">
        <v>28</v>
      </c>
      <c r="D127" s="1" t="s">
        <v>29</v>
      </c>
      <c r="E127" s="1" t="s">
        <v>30</v>
      </c>
      <c r="F127" s="1">
        <v>22</v>
      </c>
      <c r="G127" s="3">
        <v>5.9</v>
      </c>
      <c r="H127" s="3">
        <v>0</v>
      </c>
      <c r="I127" s="3">
        <v>129.80000000000001</v>
      </c>
      <c r="J127" s="2" t="s">
        <v>18</v>
      </c>
      <c r="K127" s="2" t="s">
        <v>19</v>
      </c>
      <c r="L127" s="1" t="s">
        <v>27</v>
      </c>
      <c r="M127" s="1">
        <v>10</v>
      </c>
      <c r="N127" s="12">
        <v>2024</v>
      </c>
    </row>
    <row r="128" spans="1:14" x14ac:dyDescent="0.25">
      <c r="A128" s="11">
        <v>119</v>
      </c>
      <c r="B128" s="1" t="s">
        <v>201</v>
      </c>
      <c r="C128" s="2" t="s">
        <v>134</v>
      </c>
      <c r="D128" s="1" t="s">
        <v>68</v>
      </c>
      <c r="E128" s="1" t="s">
        <v>17</v>
      </c>
      <c r="F128" s="1">
        <v>13</v>
      </c>
      <c r="G128" s="3">
        <v>0.75</v>
      </c>
      <c r="H128" s="3">
        <v>0.98</v>
      </c>
      <c r="I128" s="3">
        <v>8.77</v>
      </c>
      <c r="J128" s="2" t="s">
        <v>40</v>
      </c>
      <c r="K128" s="2" t="s">
        <v>32</v>
      </c>
      <c r="L128" s="1" t="s">
        <v>71</v>
      </c>
      <c r="M128" s="1">
        <v>4</v>
      </c>
      <c r="N128" s="12">
        <v>2024</v>
      </c>
    </row>
    <row r="129" spans="1:14" x14ac:dyDescent="0.25">
      <c r="A129" s="11">
        <v>211</v>
      </c>
      <c r="B129" s="1" t="s">
        <v>202</v>
      </c>
      <c r="C129" s="2" t="s">
        <v>28</v>
      </c>
      <c r="D129" s="1" t="s">
        <v>29</v>
      </c>
      <c r="E129" s="1" t="s">
        <v>30</v>
      </c>
      <c r="F129" s="1">
        <v>20</v>
      </c>
      <c r="G129" s="3">
        <v>5.9</v>
      </c>
      <c r="H129" s="3">
        <v>5.9</v>
      </c>
      <c r="I129" s="3">
        <v>112.1</v>
      </c>
      <c r="J129" s="2" t="s">
        <v>40</v>
      </c>
      <c r="K129" s="2" t="s">
        <v>32</v>
      </c>
      <c r="L129" s="1" t="s">
        <v>51</v>
      </c>
      <c r="M129" s="1">
        <v>5</v>
      </c>
      <c r="N129" s="12">
        <v>2024</v>
      </c>
    </row>
    <row r="130" spans="1:14" x14ac:dyDescent="0.25">
      <c r="A130" s="11">
        <v>18</v>
      </c>
      <c r="B130" s="1" t="s">
        <v>203</v>
      </c>
      <c r="C130" s="2" t="s">
        <v>204</v>
      </c>
      <c r="D130" s="1" t="s">
        <v>23</v>
      </c>
      <c r="E130" s="1" t="s">
        <v>49</v>
      </c>
      <c r="F130" s="1">
        <v>8</v>
      </c>
      <c r="G130" s="3">
        <v>3.5</v>
      </c>
      <c r="H130" s="3">
        <v>0</v>
      </c>
      <c r="I130" s="3">
        <v>28</v>
      </c>
      <c r="J130" s="2" t="s">
        <v>31</v>
      </c>
      <c r="K130" s="2" t="s">
        <v>19</v>
      </c>
      <c r="L130" s="1" t="s">
        <v>53</v>
      </c>
      <c r="M130" s="1">
        <v>6</v>
      </c>
      <c r="N130" s="12">
        <v>2024</v>
      </c>
    </row>
    <row r="131" spans="1:14" x14ac:dyDescent="0.25">
      <c r="A131" s="11">
        <v>287</v>
      </c>
      <c r="B131" s="1" t="s">
        <v>203</v>
      </c>
      <c r="C131" s="2" t="s">
        <v>73</v>
      </c>
      <c r="D131" s="1" t="s">
        <v>74</v>
      </c>
      <c r="E131" s="1" t="s">
        <v>17</v>
      </c>
      <c r="F131" s="1">
        <v>20</v>
      </c>
      <c r="G131" s="3">
        <v>2.9</v>
      </c>
      <c r="H131" s="3">
        <v>0</v>
      </c>
      <c r="I131" s="3">
        <v>58</v>
      </c>
      <c r="J131" s="2" t="s">
        <v>25</v>
      </c>
      <c r="K131" s="2" t="s">
        <v>32</v>
      </c>
      <c r="L131" s="1" t="s">
        <v>53</v>
      </c>
      <c r="M131" s="1">
        <v>6</v>
      </c>
      <c r="N131" s="12">
        <v>2024</v>
      </c>
    </row>
    <row r="132" spans="1:14" x14ac:dyDescent="0.25">
      <c r="A132" s="11">
        <v>117</v>
      </c>
      <c r="B132" s="1" t="s">
        <v>205</v>
      </c>
      <c r="C132" s="2" t="s">
        <v>34</v>
      </c>
      <c r="D132" s="1" t="s">
        <v>35</v>
      </c>
      <c r="E132" s="1" t="s">
        <v>36</v>
      </c>
      <c r="F132" s="1">
        <v>5</v>
      </c>
      <c r="G132" s="3">
        <v>14.9</v>
      </c>
      <c r="H132" s="3">
        <v>0</v>
      </c>
      <c r="I132" s="3">
        <v>74.5</v>
      </c>
      <c r="J132" s="2" t="s">
        <v>25</v>
      </c>
      <c r="K132" s="2" t="s">
        <v>19</v>
      </c>
      <c r="L132" s="1" t="s">
        <v>89</v>
      </c>
      <c r="M132" s="1">
        <v>7</v>
      </c>
      <c r="N132" s="12">
        <v>2024</v>
      </c>
    </row>
    <row r="133" spans="1:14" x14ac:dyDescent="0.25">
      <c r="A133" s="11">
        <v>250</v>
      </c>
      <c r="B133" s="1" t="s">
        <v>206</v>
      </c>
      <c r="C133" s="2" t="s">
        <v>207</v>
      </c>
      <c r="D133" s="1" t="s">
        <v>61</v>
      </c>
      <c r="E133" s="1" t="s">
        <v>57</v>
      </c>
      <c r="F133" s="1">
        <v>28</v>
      </c>
      <c r="G133" s="3">
        <v>32.9</v>
      </c>
      <c r="H133" s="3">
        <v>0</v>
      </c>
      <c r="I133" s="3">
        <v>921.2</v>
      </c>
      <c r="J133" s="2" t="s">
        <v>25</v>
      </c>
      <c r="K133" s="2" t="s">
        <v>26</v>
      </c>
      <c r="L133" s="1" t="s">
        <v>58</v>
      </c>
      <c r="M133" s="1">
        <v>8</v>
      </c>
      <c r="N133" s="12">
        <v>2024</v>
      </c>
    </row>
    <row r="134" spans="1:14" ht="25.5" x14ac:dyDescent="0.25">
      <c r="A134" s="11">
        <v>4</v>
      </c>
      <c r="B134" s="1" t="s">
        <v>208</v>
      </c>
      <c r="C134" s="2" t="s">
        <v>118</v>
      </c>
      <c r="D134" s="1" t="s">
        <v>16</v>
      </c>
      <c r="E134" s="1" t="s">
        <v>119</v>
      </c>
      <c r="F134" s="1">
        <v>1</v>
      </c>
      <c r="G134" s="3">
        <v>2.5</v>
      </c>
      <c r="H134" s="3">
        <v>0.25</v>
      </c>
      <c r="I134" s="3">
        <v>2.25</v>
      </c>
      <c r="J134" s="2" t="s">
        <v>45</v>
      </c>
      <c r="K134" s="2" t="s">
        <v>26</v>
      </c>
      <c r="L134" s="1" t="s">
        <v>105</v>
      </c>
      <c r="M134" s="1">
        <v>9</v>
      </c>
      <c r="N134" s="12">
        <v>2024</v>
      </c>
    </row>
    <row r="135" spans="1:14" ht="25.5" x14ac:dyDescent="0.25">
      <c r="A135" s="11">
        <v>112</v>
      </c>
      <c r="B135" s="1" t="s">
        <v>208</v>
      </c>
      <c r="C135" s="2" t="s">
        <v>108</v>
      </c>
      <c r="D135" s="1" t="s">
        <v>68</v>
      </c>
      <c r="E135" s="1" t="s">
        <v>49</v>
      </c>
      <c r="F135" s="1">
        <v>27</v>
      </c>
      <c r="G135" s="3">
        <v>24.9</v>
      </c>
      <c r="H135" s="3">
        <v>67.23</v>
      </c>
      <c r="I135" s="3">
        <v>605.07000000000005</v>
      </c>
      <c r="J135" s="2" t="s">
        <v>18</v>
      </c>
      <c r="K135" s="2" t="s">
        <v>32</v>
      </c>
      <c r="L135" s="1" t="s">
        <v>105</v>
      </c>
      <c r="M135" s="1">
        <v>9</v>
      </c>
      <c r="N135" s="12">
        <v>2024</v>
      </c>
    </row>
    <row r="136" spans="1:14" ht="25.5" x14ac:dyDescent="0.25">
      <c r="A136" s="11">
        <v>266</v>
      </c>
      <c r="B136" s="1" t="s">
        <v>209</v>
      </c>
      <c r="C136" s="2" t="s">
        <v>39</v>
      </c>
      <c r="D136" s="1" t="s">
        <v>16</v>
      </c>
      <c r="E136" s="1" t="s">
        <v>30</v>
      </c>
      <c r="F136" s="1">
        <v>19</v>
      </c>
      <c r="G136" s="3">
        <v>12.9</v>
      </c>
      <c r="H136" s="3">
        <v>24.51</v>
      </c>
      <c r="I136" s="3">
        <v>220.59</v>
      </c>
      <c r="J136" s="2" t="s">
        <v>40</v>
      </c>
      <c r="K136" s="2" t="s">
        <v>19</v>
      </c>
      <c r="L136" s="1" t="s">
        <v>65</v>
      </c>
      <c r="M136" s="1">
        <v>11</v>
      </c>
      <c r="N136" s="12">
        <v>2024</v>
      </c>
    </row>
    <row r="137" spans="1:14" ht="25.5" x14ac:dyDescent="0.25">
      <c r="A137" s="11">
        <v>80</v>
      </c>
      <c r="B137" s="1" t="s">
        <v>210</v>
      </c>
      <c r="C137" s="2" t="s">
        <v>207</v>
      </c>
      <c r="D137" s="1" t="s">
        <v>61</v>
      </c>
      <c r="E137" s="1" t="s">
        <v>57</v>
      </c>
      <c r="F137" s="1">
        <v>22</v>
      </c>
      <c r="G137" s="3">
        <v>32.9</v>
      </c>
      <c r="H137" s="3">
        <v>0</v>
      </c>
      <c r="I137" s="3">
        <v>723.8</v>
      </c>
      <c r="J137" s="2" t="s">
        <v>31</v>
      </c>
      <c r="K137" s="2" t="s">
        <v>26</v>
      </c>
      <c r="L137" s="1" t="s">
        <v>37</v>
      </c>
      <c r="M137" s="1">
        <v>12</v>
      </c>
      <c r="N137" s="12">
        <v>2024</v>
      </c>
    </row>
    <row r="138" spans="1:14" ht="25.5" x14ac:dyDescent="0.25">
      <c r="A138" s="11">
        <v>220</v>
      </c>
      <c r="B138" s="1" t="s">
        <v>210</v>
      </c>
      <c r="C138" s="2" t="s">
        <v>207</v>
      </c>
      <c r="D138" s="1" t="s">
        <v>61</v>
      </c>
      <c r="E138" s="1" t="s">
        <v>57</v>
      </c>
      <c r="F138" s="1">
        <v>16</v>
      </c>
      <c r="G138" s="3">
        <v>32.9</v>
      </c>
      <c r="H138" s="3">
        <v>52.64</v>
      </c>
      <c r="I138" s="3">
        <v>473.76</v>
      </c>
      <c r="J138" s="2" t="s">
        <v>45</v>
      </c>
      <c r="K138" s="2" t="s">
        <v>32</v>
      </c>
      <c r="L138" s="1" t="s">
        <v>37</v>
      </c>
      <c r="M138" s="1">
        <v>12</v>
      </c>
      <c r="N138" s="12">
        <v>2024</v>
      </c>
    </row>
    <row r="139" spans="1:14" x14ac:dyDescent="0.25">
      <c r="A139" s="11">
        <v>131</v>
      </c>
      <c r="B139" s="1" t="s">
        <v>211</v>
      </c>
      <c r="C139" s="2" t="s">
        <v>207</v>
      </c>
      <c r="D139" s="1" t="s">
        <v>61</v>
      </c>
      <c r="E139" s="1" t="s">
        <v>57</v>
      </c>
      <c r="F139" s="1">
        <v>7</v>
      </c>
      <c r="G139" s="3">
        <v>32.9</v>
      </c>
      <c r="H139" s="3">
        <v>0</v>
      </c>
      <c r="I139" s="3">
        <v>230.3</v>
      </c>
      <c r="J139" s="2" t="s">
        <v>50</v>
      </c>
      <c r="K139" s="2" t="s">
        <v>32</v>
      </c>
      <c r="L139" s="1" t="s">
        <v>20</v>
      </c>
      <c r="M139" s="1">
        <v>1</v>
      </c>
      <c r="N139" s="12">
        <v>2024</v>
      </c>
    </row>
    <row r="140" spans="1:14" x14ac:dyDescent="0.25">
      <c r="A140" s="11">
        <v>285</v>
      </c>
      <c r="B140" s="1" t="s">
        <v>211</v>
      </c>
      <c r="C140" s="2" t="s">
        <v>85</v>
      </c>
      <c r="D140" s="1" t="s">
        <v>23</v>
      </c>
      <c r="E140" s="1" t="s">
        <v>86</v>
      </c>
      <c r="F140" s="1">
        <v>24</v>
      </c>
      <c r="G140" s="3">
        <v>7.9</v>
      </c>
      <c r="H140" s="3">
        <v>18.96</v>
      </c>
      <c r="I140" s="3">
        <v>170.64</v>
      </c>
      <c r="J140" s="2" t="s">
        <v>45</v>
      </c>
      <c r="K140" s="2" t="s">
        <v>19</v>
      </c>
      <c r="L140" s="1" t="s">
        <v>20</v>
      </c>
      <c r="M140" s="1">
        <v>1</v>
      </c>
      <c r="N140" s="12">
        <v>2024</v>
      </c>
    </row>
    <row r="141" spans="1:14" ht="25.5" x14ac:dyDescent="0.25">
      <c r="A141" s="11">
        <v>24</v>
      </c>
      <c r="B141" s="1" t="s">
        <v>212</v>
      </c>
      <c r="C141" s="2" t="s">
        <v>94</v>
      </c>
      <c r="D141" s="1" t="s">
        <v>35</v>
      </c>
      <c r="E141" s="1" t="s">
        <v>95</v>
      </c>
      <c r="F141" s="1">
        <v>2</v>
      </c>
      <c r="G141" s="3">
        <v>19.899999999999999</v>
      </c>
      <c r="H141" s="3">
        <v>0</v>
      </c>
      <c r="I141" s="3">
        <v>39.799999999999997</v>
      </c>
      <c r="J141" s="2" t="s">
        <v>45</v>
      </c>
      <c r="K141" s="2" t="s">
        <v>26</v>
      </c>
      <c r="L141" s="1" t="s">
        <v>41</v>
      </c>
      <c r="M141" s="1">
        <v>2</v>
      </c>
      <c r="N141" s="12">
        <v>2024</v>
      </c>
    </row>
    <row r="142" spans="1:14" ht="25.5" x14ac:dyDescent="0.25">
      <c r="A142" s="11">
        <v>215</v>
      </c>
      <c r="B142" s="1" t="s">
        <v>212</v>
      </c>
      <c r="C142" s="2" t="s">
        <v>108</v>
      </c>
      <c r="D142" s="1" t="s">
        <v>68</v>
      </c>
      <c r="E142" s="1" t="s">
        <v>49</v>
      </c>
      <c r="F142" s="1">
        <v>4</v>
      </c>
      <c r="G142" s="3">
        <v>24.9</v>
      </c>
      <c r="H142" s="3">
        <v>0</v>
      </c>
      <c r="I142" s="3">
        <v>99.6</v>
      </c>
      <c r="J142" s="2" t="s">
        <v>18</v>
      </c>
      <c r="K142" s="2" t="s">
        <v>32</v>
      </c>
      <c r="L142" s="1" t="s">
        <v>41</v>
      </c>
      <c r="M142" s="1">
        <v>2</v>
      </c>
      <c r="N142" s="12">
        <v>2024</v>
      </c>
    </row>
    <row r="143" spans="1:14" x14ac:dyDescent="0.25">
      <c r="A143" s="11">
        <v>256</v>
      </c>
      <c r="B143" s="1" t="s">
        <v>213</v>
      </c>
      <c r="C143" s="2" t="s">
        <v>118</v>
      </c>
      <c r="D143" s="1" t="s">
        <v>16</v>
      </c>
      <c r="E143" s="1" t="s">
        <v>119</v>
      </c>
      <c r="F143" s="1">
        <v>1</v>
      </c>
      <c r="G143" s="3">
        <v>2.5</v>
      </c>
      <c r="H143" s="3">
        <v>0</v>
      </c>
      <c r="I143" s="3">
        <v>2.5</v>
      </c>
      <c r="J143" s="2" t="s">
        <v>45</v>
      </c>
      <c r="K143" s="2" t="s">
        <v>32</v>
      </c>
      <c r="L143" s="1" t="s">
        <v>46</v>
      </c>
      <c r="M143" s="1">
        <v>3</v>
      </c>
      <c r="N143" s="12">
        <v>2024</v>
      </c>
    </row>
    <row r="144" spans="1:14" x14ac:dyDescent="0.25">
      <c r="A144" s="11">
        <v>15</v>
      </c>
      <c r="B144" s="1" t="s">
        <v>214</v>
      </c>
      <c r="C144" s="2" t="s">
        <v>34</v>
      </c>
      <c r="D144" s="1" t="s">
        <v>35</v>
      </c>
      <c r="E144" s="1" t="s">
        <v>36</v>
      </c>
      <c r="F144" s="1">
        <v>30</v>
      </c>
      <c r="G144" s="3">
        <v>14.9</v>
      </c>
      <c r="H144" s="3">
        <v>0</v>
      </c>
      <c r="I144" s="3">
        <v>447</v>
      </c>
      <c r="J144" s="2" t="s">
        <v>50</v>
      </c>
      <c r="K144" s="2" t="s">
        <v>26</v>
      </c>
      <c r="L144" s="1" t="s">
        <v>51</v>
      </c>
      <c r="M144" s="1">
        <v>5</v>
      </c>
      <c r="N144" s="12">
        <v>2024</v>
      </c>
    </row>
    <row r="145" spans="1:14" x14ac:dyDescent="0.25">
      <c r="A145" s="11">
        <v>28</v>
      </c>
      <c r="B145" s="1" t="s">
        <v>214</v>
      </c>
      <c r="C145" s="2" t="s">
        <v>161</v>
      </c>
      <c r="D145" s="1" t="s">
        <v>16</v>
      </c>
      <c r="E145" s="1" t="s">
        <v>119</v>
      </c>
      <c r="F145" s="1">
        <v>11</v>
      </c>
      <c r="G145" s="3">
        <v>5.9</v>
      </c>
      <c r="H145" s="3">
        <v>0</v>
      </c>
      <c r="I145" s="3">
        <v>64.900000000000006</v>
      </c>
      <c r="J145" s="2" t="s">
        <v>31</v>
      </c>
      <c r="K145" s="2" t="s">
        <v>19</v>
      </c>
      <c r="L145" s="1" t="s">
        <v>51</v>
      </c>
      <c r="M145" s="1">
        <v>5</v>
      </c>
      <c r="N145" s="12">
        <v>2024</v>
      </c>
    </row>
    <row r="146" spans="1:14" x14ac:dyDescent="0.25">
      <c r="A146" s="11">
        <v>177</v>
      </c>
      <c r="B146" s="1" t="s">
        <v>214</v>
      </c>
      <c r="C146" s="2" t="s">
        <v>115</v>
      </c>
      <c r="D146" s="1" t="s">
        <v>23</v>
      </c>
      <c r="E146" s="1" t="s">
        <v>116</v>
      </c>
      <c r="F146" s="1">
        <v>3</v>
      </c>
      <c r="G146" s="3">
        <v>12.5</v>
      </c>
      <c r="H146" s="3">
        <v>0</v>
      </c>
      <c r="I146" s="3">
        <v>37.5</v>
      </c>
      <c r="J146" s="2" t="s">
        <v>45</v>
      </c>
      <c r="K146" s="2" t="s">
        <v>19</v>
      </c>
      <c r="L146" s="1" t="s">
        <v>51</v>
      </c>
      <c r="M146" s="1">
        <v>5</v>
      </c>
      <c r="N146" s="12">
        <v>2024</v>
      </c>
    </row>
    <row r="147" spans="1:14" x14ac:dyDescent="0.25">
      <c r="A147" s="11">
        <v>282</v>
      </c>
      <c r="B147" s="1" t="s">
        <v>214</v>
      </c>
      <c r="C147" s="2" t="s">
        <v>175</v>
      </c>
      <c r="D147" s="1" t="s">
        <v>23</v>
      </c>
      <c r="E147" s="1" t="s">
        <v>24</v>
      </c>
      <c r="F147" s="1">
        <v>6</v>
      </c>
      <c r="G147" s="3">
        <v>8.5</v>
      </c>
      <c r="H147" s="3">
        <v>0</v>
      </c>
      <c r="I147" s="3">
        <v>51</v>
      </c>
      <c r="J147" s="2" t="s">
        <v>40</v>
      </c>
      <c r="K147" s="2" t="s">
        <v>19</v>
      </c>
      <c r="L147" s="1" t="s">
        <v>51</v>
      </c>
      <c r="M147" s="1">
        <v>5</v>
      </c>
      <c r="N147" s="12">
        <v>2024</v>
      </c>
    </row>
    <row r="148" spans="1:14" x14ac:dyDescent="0.25">
      <c r="A148" s="11">
        <v>234</v>
      </c>
      <c r="B148" s="1" t="s">
        <v>215</v>
      </c>
      <c r="C148" s="2" t="s">
        <v>103</v>
      </c>
      <c r="D148" s="1" t="s">
        <v>35</v>
      </c>
      <c r="E148" s="1" t="s">
        <v>95</v>
      </c>
      <c r="F148" s="1">
        <v>14</v>
      </c>
      <c r="G148" s="3">
        <v>54.9</v>
      </c>
      <c r="H148" s="3">
        <v>0</v>
      </c>
      <c r="I148" s="3">
        <v>768.6</v>
      </c>
      <c r="J148" s="2" t="s">
        <v>45</v>
      </c>
      <c r="K148" s="2" t="s">
        <v>32</v>
      </c>
      <c r="L148" s="1" t="s">
        <v>53</v>
      </c>
      <c r="M148" s="1">
        <v>6</v>
      </c>
      <c r="N148" s="12">
        <v>2024</v>
      </c>
    </row>
    <row r="149" spans="1:14" ht="25.5" x14ac:dyDescent="0.25">
      <c r="A149" s="11">
        <v>30</v>
      </c>
      <c r="B149" s="1" t="s">
        <v>216</v>
      </c>
      <c r="C149" s="2" t="s">
        <v>217</v>
      </c>
      <c r="D149" s="1" t="s">
        <v>23</v>
      </c>
      <c r="E149" s="1" t="s">
        <v>24</v>
      </c>
      <c r="F149" s="1">
        <v>28</v>
      </c>
      <c r="G149" s="3">
        <v>4.5</v>
      </c>
      <c r="H149" s="3">
        <v>0</v>
      </c>
      <c r="I149" s="3">
        <v>126</v>
      </c>
      <c r="J149" s="2" t="s">
        <v>40</v>
      </c>
      <c r="K149" s="2" t="s">
        <v>26</v>
      </c>
      <c r="L149" s="1" t="s">
        <v>105</v>
      </c>
      <c r="M149" s="1">
        <v>9</v>
      </c>
      <c r="N149" s="12">
        <v>2024</v>
      </c>
    </row>
    <row r="150" spans="1:14" ht="25.5" x14ac:dyDescent="0.25">
      <c r="A150" s="11">
        <v>228</v>
      </c>
      <c r="B150" s="1" t="s">
        <v>218</v>
      </c>
      <c r="C150" s="2" t="s">
        <v>82</v>
      </c>
      <c r="D150" s="1" t="s">
        <v>35</v>
      </c>
      <c r="E150" s="1" t="s">
        <v>36</v>
      </c>
      <c r="F150" s="1">
        <v>25</v>
      </c>
      <c r="G150" s="3">
        <v>14.9</v>
      </c>
      <c r="H150" s="3">
        <v>0</v>
      </c>
      <c r="I150" s="3">
        <v>372.5</v>
      </c>
      <c r="J150" s="2" t="s">
        <v>50</v>
      </c>
      <c r="K150" s="2" t="s">
        <v>26</v>
      </c>
      <c r="L150" s="1" t="s">
        <v>27</v>
      </c>
      <c r="M150" s="1">
        <v>10</v>
      </c>
      <c r="N150" s="12">
        <v>2024</v>
      </c>
    </row>
    <row r="151" spans="1:14" ht="25.5" x14ac:dyDescent="0.25">
      <c r="A151" s="11">
        <v>192</v>
      </c>
      <c r="B151" s="1" t="s">
        <v>219</v>
      </c>
      <c r="C151" s="2" t="s">
        <v>139</v>
      </c>
      <c r="D151" s="1" t="s">
        <v>68</v>
      </c>
      <c r="E151" s="1" t="s">
        <v>17</v>
      </c>
      <c r="F151" s="1">
        <v>25</v>
      </c>
      <c r="G151" s="3">
        <v>4.5</v>
      </c>
      <c r="H151" s="3">
        <v>0</v>
      </c>
      <c r="I151" s="3">
        <v>112.5</v>
      </c>
      <c r="J151" s="2" t="s">
        <v>45</v>
      </c>
      <c r="K151" s="2" t="s">
        <v>19</v>
      </c>
      <c r="L151" s="1" t="s">
        <v>65</v>
      </c>
      <c r="M151" s="1">
        <v>11</v>
      </c>
      <c r="N151" s="12">
        <v>2024</v>
      </c>
    </row>
    <row r="152" spans="1:14" ht="25.5" x14ac:dyDescent="0.25">
      <c r="A152" s="11">
        <v>213</v>
      </c>
      <c r="B152" s="1" t="s">
        <v>219</v>
      </c>
      <c r="C152" s="2" t="s">
        <v>136</v>
      </c>
      <c r="D152" s="1" t="s">
        <v>35</v>
      </c>
      <c r="E152" s="1" t="s">
        <v>137</v>
      </c>
      <c r="F152" s="1">
        <v>29</v>
      </c>
      <c r="G152" s="3">
        <v>4.9000000000000004</v>
      </c>
      <c r="H152" s="3">
        <v>7.11</v>
      </c>
      <c r="I152" s="3">
        <v>134.99</v>
      </c>
      <c r="J152" s="2" t="s">
        <v>50</v>
      </c>
      <c r="K152" s="2" t="s">
        <v>32</v>
      </c>
      <c r="L152" s="1" t="s">
        <v>65</v>
      </c>
      <c r="M152" s="1">
        <v>11</v>
      </c>
      <c r="N152" s="12">
        <v>2024</v>
      </c>
    </row>
    <row r="153" spans="1:14" ht="25.5" x14ac:dyDescent="0.25">
      <c r="A153" s="11">
        <v>138</v>
      </c>
      <c r="B153" s="1" t="s">
        <v>220</v>
      </c>
      <c r="C153" s="2" t="s">
        <v>118</v>
      </c>
      <c r="D153" s="1" t="s">
        <v>16</v>
      </c>
      <c r="E153" s="1" t="s">
        <v>119</v>
      </c>
      <c r="F153" s="1">
        <v>26</v>
      </c>
      <c r="G153" s="3">
        <v>2.5</v>
      </c>
      <c r="H153" s="3">
        <v>0</v>
      </c>
      <c r="I153" s="3">
        <v>65</v>
      </c>
      <c r="J153" s="2" t="s">
        <v>50</v>
      </c>
      <c r="K153" s="2" t="s">
        <v>32</v>
      </c>
      <c r="L153" s="1" t="s">
        <v>37</v>
      </c>
      <c r="M153" s="1">
        <v>12</v>
      </c>
      <c r="N153" s="12">
        <v>2024</v>
      </c>
    </row>
    <row r="154" spans="1:14" ht="25.5" x14ac:dyDescent="0.25">
      <c r="A154" s="11">
        <v>74</v>
      </c>
      <c r="B154" s="1" t="s">
        <v>221</v>
      </c>
      <c r="C154" s="2" t="s">
        <v>39</v>
      </c>
      <c r="D154" s="1" t="s">
        <v>16</v>
      </c>
      <c r="E154" s="1" t="s">
        <v>30</v>
      </c>
      <c r="F154" s="1">
        <v>14</v>
      </c>
      <c r="G154" s="3">
        <v>12.9</v>
      </c>
      <c r="H154" s="3">
        <v>0</v>
      </c>
      <c r="I154" s="3">
        <v>180.6</v>
      </c>
      <c r="J154" s="2" t="s">
        <v>25</v>
      </c>
      <c r="K154" s="2" t="s">
        <v>32</v>
      </c>
      <c r="L154" s="1" t="s">
        <v>41</v>
      </c>
      <c r="M154" s="1">
        <v>2</v>
      </c>
      <c r="N154" s="12">
        <v>2024</v>
      </c>
    </row>
    <row r="155" spans="1:14" ht="25.5" x14ac:dyDescent="0.25">
      <c r="A155" s="11">
        <v>196</v>
      </c>
      <c r="B155" s="1" t="s">
        <v>221</v>
      </c>
      <c r="C155" s="2" t="s">
        <v>112</v>
      </c>
      <c r="D155" s="1" t="s">
        <v>61</v>
      </c>
      <c r="E155" s="1" t="s">
        <v>113</v>
      </c>
      <c r="F155" s="1">
        <v>27</v>
      </c>
      <c r="G155" s="3">
        <v>4.9000000000000004</v>
      </c>
      <c r="H155" s="3">
        <v>0</v>
      </c>
      <c r="I155" s="3">
        <v>132.30000000000001</v>
      </c>
      <c r="J155" s="2" t="s">
        <v>18</v>
      </c>
      <c r="K155" s="2" t="s">
        <v>32</v>
      </c>
      <c r="L155" s="1" t="s">
        <v>41</v>
      </c>
      <c r="M155" s="1">
        <v>2</v>
      </c>
      <c r="N155" s="12">
        <v>2024</v>
      </c>
    </row>
    <row r="156" spans="1:14" x14ac:dyDescent="0.25">
      <c r="A156" s="11">
        <v>100</v>
      </c>
      <c r="B156" s="1" t="s">
        <v>222</v>
      </c>
      <c r="C156" s="2" t="s">
        <v>108</v>
      </c>
      <c r="D156" s="1" t="s">
        <v>68</v>
      </c>
      <c r="E156" s="1" t="s">
        <v>49</v>
      </c>
      <c r="F156" s="1">
        <v>26</v>
      </c>
      <c r="G156" s="3">
        <v>24.9</v>
      </c>
      <c r="H156" s="3">
        <v>64.739999999999995</v>
      </c>
      <c r="I156" s="3">
        <v>582.66</v>
      </c>
      <c r="J156" s="2" t="s">
        <v>50</v>
      </c>
      <c r="K156" s="2" t="s">
        <v>26</v>
      </c>
      <c r="L156" s="1" t="s">
        <v>71</v>
      </c>
      <c r="M156" s="1">
        <v>4</v>
      </c>
      <c r="N156" s="12">
        <v>2024</v>
      </c>
    </row>
    <row r="157" spans="1:14" x14ac:dyDescent="0.25">
      <c r="A157" s="11">
        <v>19</v>
      </c>
      <c r="B157" s="1" t="s">
        <v>223</v>
      </c>
      <c r="C157" s="2" t="s">
        <v>184</v>
      </c>
      <c r="D157" s="1" t="s">
        <v>23</v>
      </c>
      <c r="E157" s="1" t="s">
        <v>185</v>
      </c>
      <c r="F157" s="1">
        <v>7</v>
      </c>
      <c r="G157" s="3">
        <v>4.9000000000000004</v>
      </c>
      <c r="H157" s="3">
        <v>3.43</v>
      </c>
      <c r="I157" s="3">
        <v>30.87</v>
      </c>
      <c r="J157" s="2" t="s">
        <v>40</v>
      </c>
      <c r="K157" s="2" t="s">
        <v>19</v>
      </c>
      <c r="L157" s="1" t="s">
        <v>51</v>
      </c>
      <c r="M157" s="1">
        <v>5</v>
      </c>
      <c r="N157" s="12">
        <v>2024</v>
      </c>
    </row>
    <row r="158" spans="1:14" x14ac:dyDescent="0.25">
      <c r="A158" s="11">
        <v>212</v>
      </c>
      <c r="B158" s="1" t="s">
        <v>224</v>
      </c>
      <c r="C158" s="2" t="s">
        <v>82</v>
      </c>
      <c r="D158" s="1" t="s">
        <v>35</v>
      </c>
      <c r="E158" s="1" t="s">
        <v>36</v>
      </c>
      <c r="F158" s="1">
        <v>28</v>
      </c>
      <c r="G158" s="3">
        <v>14.9</v>
      </c>
      <c r="H158" s="3">
        <v>41.72</v>
      </c>
      <c r="I158" s="3">
        <v>375.48</v>
      </c>
      <c r="J158" s="2" t="s">
        <v>18</v>
      </c>
      <c r="K158" s="2" t="s">
        <v>19</v>
      </c>
      <c r="L158" s="1" t="s">
        <v>53</v>
      </c>
      <c r="M158" s="1">
        <v>6</v>
      </c>
      <c r="N158" s="12">
        <v>2024</v>
      </c>
    </row>
    <row r="159" spans="1:14" ht="25.5" x14ac:dyDescent="0.25">
      <c r="A159" s="11">
        <v>200</v>
      </c>
      <c r="B159" s="1" t="s">
        <v>225</v>
      </c>
      <c r="C159" s="2" t="s">
        <v>103</v>
      </c>
      <c r="D159" s="1" t="s">
        <v>35</v>
      </c>
      <c r="E159" s="1" t="s">
        <v>95</v>
      </c>
      <c r="F159" s="1">
        <v>29</v>
      </c>
      <c r="G159" s="3">
        <v>54.9</v>
      </c>
      <c r="H159" s="3">
        <v>0</v>
      </c>
      <c r="I159" s="3">
        <v>1592.1</v>
      </c>
      <c r="J159" s="2" t="s">
        <v>25</v>
      </c>
      <c r="K159" s="2" t="s">
        <v>19</v>
      </c>
      <c r="L159" s="1" t="s">
        <v>105</v>
      </c>
      <c r="M159" s="1">
        <v>9</v>
      </c>
      <c r="N159" s="12">
        <v>2024</v>
      </c>
    </row>
    <row r="160" spans="1:14" ht="25.5" x14ac:dyDescent="0.25">
      <c r="A160" s="11">
        <v>232</v>
      </c>
      <c r="B160" s="1" t="s">
        <v>226</v>
      </c>
      <c r="C160" s="2" t="s">
        <v>161</v>
      </c>
      <c r="D160" s="1" t="s">
        <v>16</v>
      </c>
      <c r="E160" s="1" t="s">
        <v>119</v>
      </c>
      <c r="F160" s="1">
        <v>2</v>
      </c>
      <c r="G160" s="5">
        <v>-5.9</v>
      </c>
      <c r="H160" s="3">
        <v>0</v>
      </c>
      <c r="I160" s="5">
        <v>-11.8</v>
      </c>
      <c r="J160" s="2" t="s">
        <v>18</v>
      </c>
      <c r="K160" s="2" t="s">
        <v>32</v>
      </c>
      <c r="L160" s="1" t="s">
        <v>65</v>
      </c>
      <c r="M160" s="1">
        <v>11</v>
      </c>
      <c r="N160" s="12">
        <v>2024</v>
      </c>
    </row>
    <row r="161" spans="1:14" ht="25.5" x14ac:dyDescent="0.25">
      <c r="A161" s="11">
        <v>93</v>
      </c>
      <c r="B161" s="1" t="s">
        <v>227</v>
      </c>
      <c r="C161" s="2" t="s">
        <v>159</v>
      </c>
      <c r="D161" s="1" t="s">
        <v>35</v>
      </c>
      <c r="E161" s="1" t="s">
        <v>137</v>
      </c>
      <c r="F161" s="1">
        <v>24</v>
      </c>
      <c r="G161" s="3">
        <v>5.9</v>
      </c>
      <c r="H161" s="3">
        <v>0</v>
      </c>
      <c r="I161" s="3">
        <v>141.6</v>
      </c>
      <c r="J161" s="2" t="s">
        <v>31</v>
      </c>
      <c r="K161" s="2" t="s">
        <v>19</v>
      </c>
      <c r="L161" s="1" t="s">
        <v>37</v>
      </c>
      <c r="M161" s="1">
        <v>12</v>
      </c>
      <c r="N161" s="12">
        <v>2024</v>
      </c>
    </row>
    <row r="162" spans="1:14" ht="25.5" x14ac:dyDescent="0.25">
      <c r="A162" s="11">
        <v>264</v>
      </c>
      <c r="B162" s="1" t="s">
        <v>227</v>
      </c>
      <c r="C162" s="2" t="s">
        <v>217</v>
      </c>
      <c r="D162" s="1" t="s">
        <v>23</v>
      </c>
      <c r="E162" s="1" t="s">
        <v>24</v>
      </c>
      <c r="F162" s="1">
        <v>16</v>
      </c>
      <c r="G162" s="3">
        <v>4.5</v>
      </c>
      <c r="H162" s="3">
        <v>3.6</v>
      </c>
      <c r="I162" s="3">
        <v>68.400000000000006</v>
      </c>
      <c r="J162" s="2" t="s">
        <v>25</v>
      </c>
      <c r="K162" s="2" t="s">
        <v>32</v>
      </c>
      <c r="L162" s="1" t="s">
        <v>37</v>
      </c>
      <c r="M162" s="1">
        <v>12</v>
      </c>
      <c r="N162" s="12">
        <v>2024</v>
      </c>
    </row>
    <row r="163" spans="1:14" ht="25.5" x14ac:dyDescent="0.25">
      <c r="A163" s="11">
        <v>46</v>
      </c>
      <c r="B163" s="1" t="s">
        <v>228</v>
      </c>
      <c r="C163" s="2" t="s">
        <v>217</v>
      </c>
      <c r="D163" s="1" t="s">
        <v>23</v>
      </c>
      <c r="E163" s="1" t="s">
        <v>24</v>
      </c>
      <c r="F163" s="1">
        <v>22</v>
      </c>
      <c r="G163" s="3">
        <v>4.5</v>
      </c>
      <c r="H163" s="3">
        <v>4.95</v>
      </c>
      <c r="I163" s="3">
        <v>94.05</v>
      </c>
      <c r="J163" s="2" t="s">
        <v>31</v>
      </c>
      <c r="K163" s="2" t="s">
        <v>19</v>
      </c>
      <c r="L163" s="1" t="s">
        <v>41</v>
      </c>
      <c r="M163" s="1">
        <v>2</v>
      </c>
      <c r="N163" s="12">
        <v>2024</v>
      </c>
    </row>
    <row r="164" spans="1:14" ht="25.5" x14ac:dyDescent="0.25">
      <c r="A164" s="11">
        <v>271</v>
      </c>
      <c r="B164" s="1" t="s">
        <v>228</v>
      </c>
      <c r="C164" s="2" t="s">
        <v>141</v>
      </c>
      <c r="D164" s="1" t="s">
        <v>29</v>
      </c>
      <c r="E164" s="1" t="s">
        <v>142</v>
      </c>
      <c r="F164" s="1">
        <v>14</v>
      </c>
      <c r="G164" s="3">
        <v>2.5</v>
      </c>
      <c r="H164" s="3">
        <v>0</v>
      </c>
      <c r="I164" s="3">
        <v>35</v>
      </c>
      <c r="J164" s="2" t="s">
        <v>40</v>
      </c>
      <c r="K164" s="2" t="s">
        <v>19</v>
      </c>
      <c r="L164" s="1" t="s">
        <v>41</v>
      </c>
      <c r="M164" s="1">
        <v>2</v>
      </c>
      <c r="N164" s="12">
        <v>2024</v>
      </c>
    </row>
    <row r="165" spans="1:14" x14ac:dyDescent="0.25">
      <c r="A165" s="11">
        <v>20</v>
      </c>
      <c r="B165" s="1" t="s">
        <v>229</v>
      </c>
      <c r="C165" s="2" t="s">
        <v>161</v>
      </c>
      <c r="D165" s="1" t="s">
        <v>16</v>
      </c>
      <c r="E165" s="1" t="s">
        <v>119</v>
      </c>
      <c r="F165" s="1">
        <v>16</v>
      </c>
      <c r="G165" s="3">
        <v>5.9</v>
      </c>
      <c r="H165" s="3">
        <v>4.72</v>
      </c>
      <c r="I165" s="3">
        <v>89.68</v>
      </c>
      <c r="J165" s="2" t="s">
        <v>40</v>
      </c>
      <c r="K165" s="2" t="s">
        <v>19</v>
      </c>
      <c r="L165" s="1" t="s">
        <v>71</v>
      </c>
      <c r="M165" s="1">
        <v>4</v>
      </c>
      <c r="N165" s="12">
        <v>2024</v>
      </c>
    </row>
    <row r="166" spans="1:14" x14ac:dyDescent="0.25">
      <c r="A166" s="11">
        <v>253</v>
      </c>
      <c r="B166" s="1" t="s">
        <v>229</v>
      </c>
      <c r="C166" s="2" t="s">
        <v>161</v>
      </c>
      <c r="D166" s="1" t="s">
        <v>16</v>
      </c>
      <c r="E166" s="1" t="s">
        <v>119</v>
      </c>
      <c r="F166" s="1">
        <v>21</v>
      </c>
      <c r="G166" s="3">
        <v>5.9</v>
      </c>
      <c r="H166" s="3">
        <v>12.39</v>
      </c>
      <c r="I166" s="3">
        <v>111.51</v>
      </c>
      <c r="J166" s="2" t="s">
        <v>25</v>
      </c>
      <c r="K166" s="2" t="s">
        <v>32</v>
      </c>
      <c r="L166" s="1" t="s">
        <v>71</v>
      </c>
      <c r="M166" s="1">
        <v>4</v>
      </c>
      <c r="N166" s="12">
        <v>2024</v>
      </c>
    </row>
    <row r="167" spans="1:14" x14ac:dyDescent="0.25">
      <c r="A167" s="11">
        <v>294</v>
      </c>
      <c r="B167" s="1" t="s">
        <v>229</v>
      </c>
      <c r="C167" s="2" t="s">
        <v>48</v>
      </c>
      <c r="D167" s="1" t="s">
        <v>23</v>
      </c>
      <c r="E167" s="1" t="s">
        <v>49</v>
      </c>
      <c r="F167" s="1">
        <v>25</v>
      </c>
      <c r="G167" s="3">
        <v>18.899999999999999</v>
      </c>
      <c r="H167" s="3">
        <v>0</v>
      </c>
      <c r="I167" s="3">
        <v>472.5</v>
      </c>
      <c r="J167" s="2" t="s">
        <v>31</v>
      </c>
      <c r="K167" s="2" t="s">
        <v>19</v>
      </c>
      <c r="L167" s="1" t="s">
        <v>71</v>
      </c>
      <c r="M167" s="1">
        <v>4</v>
      </c>
      <c r="N167" s="12">
        <v>2024</v>
      </c>
    </row>
    <row r="168" spans="1:14" x14ac:dyDescent="0.25">
      <c r="A168" s="11">
        <v>43</v>
      </c>
      <c r="B168" s="1" t="s">
        <v>230</v>
      </c>
      <c r="C168" s="2" t="s">
        <v>184</v>
      </c>
      <c r="D168" s="1" t="s">
        <v>23</v>
      </c>
      <c r="E168" s="1" t="s">
        <v>185</v>
      </c>
      <c r="F168" s="1">
        <v>17</v>
      </c>
      <c r="G168" s="3">
        <v>4.9000000000000004</v>
      </c>
      <c r="H168" s="3">
        <v>0</v>
      </c>
      <c r="I168" s="3">
        <v>83.3</v>
      </c>
      <c r="J168" s="2" t="s">
        <v>31</v>
      </c>
      <c r="K168" s="2" t="s">
        <v>26</v>
      </c>
      <c r="L168" s="1" t="s">
        <v>53</v>
      </c>
      <c r="M168" s="1">
        <v>6</v>
      </c>
      <c r="N168" s="12">
        <v>2024</v>
      </c>
    </row>
    <row r="169" spans="1:14" x14ac:dyDescent="0.25">
      <c r="A169" s="11">
        <v>121</v>
      </c>
      <c r="B169" s="1" t="s">
        <v>231</v>
      </c>
      <c r="C169" s="2" t="s">
        <v>134</v>
      </c>
      <c r="D169" s="1" t="s">
        <v>68</v>
      </c>
      <c r="E169" s="1" t="s">
        <v>17</v>
      </c>
      <c r="F169" s="1">
        <v>18</v>
      </c>
      <c r="G169" s="3">
        <v>0.75</v>
      </c>
      <c r="H169" s="3">
        <v>1.35</v>
      </c>
      <c r="I169" s="3">
        <v>12.15</v>
      </c>
      <c r="J169" s="2" t="s">
        <v>50</v>
      </c>
      <c r="K169" s="2" t="s">
        <v>32</v>
      </c>
      <c r="L169" s="1" t="s">
        <v>89</v>
      </c>
      <c r="M169" s="1">
        <v>7</v>
      </c>
      <c r="N169" s="12">
        <v>2024</v>
      </c>
    </row>
    <row r="170" spans="1:14" x14ac:dyDescent="0.25">
      <c r="A170" s="11">
        <v>123</v>
      </c>
      <c r="B170" s="1" t="s">
        <v>231</v>
      </c>
      <c r="C170" s="2" t="s">
        <v>28</v>
      </c>
      <c r="D170" s="1" t="s">
        <v>29</v>
      </c>
      <c r="E170" s="1" t="s">
        <v>30</v>
      </c>
      <c r="F170" s="1">
        <v>22</v>
      </c>
      <c r="G170" s="3">
        <v>5.9</v>
      </c>
      <c r="H170" s="3">
        <v>6.49</v>
      </c>
      <c r="I170" s="3">
        <v>123.31</v>
      </c>
      <c r="J170" s="2" t="s">
        <v>40</v>
      </c>
      <c r="K170" s="2" t="s">
        <v>32</v>
      </c>
      <c r="L170" s="1" t="s">
        <v>89</v>
      </c>
      <c r="M170" s="1">
        <v>7</v>
      </c>
      <c r="N170" s="12">
        <v>2024</v>
      </c>
    </row>
    <row r="171" spans="1:14" x14ac:dyDescent="0.25">
      <c r="A171" s="11">
        <v>145</v>
      </c>
      <c r="B171" s="1" t="s">
        <v>232</v>
      </c>
      <c r="C171" s="2" t="s">
        <v>207</v>
      </c>
      <c r="D171" s="1" t="s">
        <v>61</v>
      </c>
      <c r="E171" s="1" t="s">
        <v>57</v>
      </c>
      <c r="F171" s="1">
        <v>25</v>
      </c>
      <c r="G171" s="3">
        <v>32.9</v>
      </c>
      <c r="H171" s="3">
        <v>41.12</v>
      </c>
      <c r="I171" s="3">
        <v>781.38</v>
      </c>
      <c r="J171" s="2" t="s">
        <v>50</v>
      </c>
      <c r="K171" s="2" t="s">
        <v>26</v>
      </c>
      <c r="L171" s="1" t="s">
        <v>58</v>
      </c>
      <c r="M171" s="1">
        <v>8</v>
      </c>
      <c r="N171" s="12">
        <v>2024</v>
      </c>
    </row>
    <row r="172" spans="1:14" ht="25.5" x14ac:dyDescent="0.25">
      <c r="A172" s="11">
        <v>91</v>
      </c>
      <c r="B172" s="1" t="s">
        <v>233</v>
      </c>
      <c r="C172" s="2" t="s">
        <v>22</v>
      </c>
      <c r="D172" s="7" t="s">
        <v>234</v>
      </c>
      <c r="E172" s="1" t="s">
        <v>24</v>
      </c>
      <c r="F172" s="1">
        <v>13</v>
      </c>
      <c r="G172" s="3">
        <v>2.9</v>
      </c>
      <c r="H172" s="3">
        <v>3.77</v>
      </c>
      <c r="I172" s="3">
        <v>33.93</v>
      </c>
      <c r="J172" s="2" t="s">
        <v>45</v>
      </c>
      <c r="K172" s="2" t="s">
        <v>19</v>
      </c>
      <c r="L172" s="1" t="s">
        <v>105</v>
      </c>
      <c r="M172" s="1">
        <v>9</v>
      </c>
      <c r="N172" s="12">
        <v>2024</v>
      </c>
    </row>
    <row r="173" spans="1:14" ht="25.5" x14ac:dyDescent="0.25">
      <c r="A173" s="11">
        <v>102</v>
      </c>
      <c r="B173" s="1" t="s">
        <v>233</v>
      </c>
      <c r="C173" s="2" t="s">
        <v>172</v>
      </c>
      <c r="D173" s="1" t="s">
        <v>56</v>
      </c>
      <c r="E173" s="1" t="s">
        <v>57</v>
      </c>
      <c r="F173" s="1">
        <v>26</v>
      </c>
      <c r="G173" s="3">
        <v>89.9</v>
      </c>
      <c r="H173" s="3">
        <v>0</v>
      </c>
      <c r="I173" s="3">
        <v>2337.4</v>
      </c>
      <c r="J173" s="2" t="s">
        <v>40</v>
      </c>
      <c r="K173" s="2" t="s">
        <v>32</v>
      </c>
      <c r="L173" s="1" t="s">
        <v>105</v>
      </c>
      <c r="M173" s="1">
        <v>9</v>
      </c>
      <c r="N173" s="12">
        <v>2024</v>
      </c>
    </row>
    <row r="174" spans="1:14" ht="25.5" x14ac:dyDescent="0.25">
      <c r="A174" s="11">
        <v>61</v>
      </c>
      <c r="B174" s="1" t="s">
        <v>235</v>
      </c>
      <c r="C174" s="2" t="s">
        <v>207</v>
      </c>
      <c r="D174" s="1" t="s">
        <v>61</v>
      </c>
      <c r="E174" s="1" t="s">
        <v>57</v>
      </c>
      <c r="F174" s="1">
        <v>19</v>
      </c>
      <c r="G174" s="3">
        <v>32.9</v>
      </c>
      <c r="H174" s="3">
        <v>62.51</v>
      </c>
      <c r="I174" s="3">
        <v>562.59</v>
      </c>
      <c r="J174" s="2" t="s">
        <v>25</v>
      </c>
      <c r="K174" s="2" t="s">
        <v>26</v>
      </c>
      <c r="L174" s="1" t="s">
        <v>27</v>
      </c>
      <c r="M174" s="1">
        <v>10</v>
      </c>
      <c r="N174" s="12">
        <v>2024</v>
      </c>
    </row>
    <row r="175" spans="1:14" ht="25.5" x14ac:dyDescent="0.25">
      <c r="A175" s="11">
        <v>165</v>
      </c>
      <c r="B175" s="1" t="s">
        <v>236</v>
      </c>
      <c r="C175" s="2" t="s">
        <v>82</v>
      </c>
      <c r="D175" s="7" t="s">
        <v>237</v>
      </c>
      <c r="E175" s="1" t="s">
        <v>36</v>
      </c>
      <c r="F175" s="1">
        <v>2</v>
      </c>
      <c r="G175" s="3">
        <v>14.9</v>
      </c>
      <c r="H175" s="3">
        <v>0</v>
      </c>
      <c r="I175" s="3">
        <v>29.8</v>
      </c>
      <c r="J175" s="2" t="s">
        <v>45</v>
      </c>
      <c r="K175" s="2" t="s">
        <v>26</v>
      </c>
      <c r="L175" s="1" t="s">
        <v>65</v>
      </c>
      <c r="M175" s="1">
        <v>11</v>
      </c>
      <c r="N175" s="12">
        <v>2024</v>
      </c>
    </row>
    <row r="176" spans="1:14" x14ac:dyDescent="0.25">
      <c r="A176" s="11">
        <v>180</v>
      </c>
      <c r="B176" s="1" t="s">
        <v>238</v>
      </c>
      <c r="C176" s="2" t="s">
        <v>88</v>
      </c>
      <c r="D176" s="1" t="s">
        <v>56</v>
      </c>
      <c r="E176" s="1" t="s">
        <v>57</v>
      </c>
      <c r="F176" s="1">
        <v>18</v>
      </c>
      <c r="G176" s="3">
        <v>24.9</v>
      </c>
      <c r="H176" s="3">
        <v>22.41</v>
      </c>
      <c r="I176" s="3">
        <v>425.79</v>
      </c>
      <c r="J176" s="2" t="s">
        <v>18</v>
      </c>
      <c r="K176" s="2" t="s">
        <v>32</v>
      </c>
      <c r="L176" s="1" t="s">
        <v>51</v>
      </c>
      <c r="M176" s="1">
        <v>5</v>
      </c>
      <c r="N176" s="12">
        <v>2024</v>
      </c>
    </row>
    <row r="177" spans="1:14" x14ac:dyDescent="0.25">
      <c r="A177" s="11">
        <v>198</v>
      </c>
      <c r="B177" s="1" t="s">
        <v>238</v>
      </c>
      <c r="C177" s="2" t="s">
        <v>134</v>
      </c>
      <c r="D177" s="1" t="s">
        <v>68</v>
      </c>
      <c r="E177" s="1" t="s">
        <v>17</v>
      </c>
      <c r="F177" s="1">
        <v>27</v>
      </c>
      <c r="G177" s="3">
        <v>0.75</v>
      </c>
      <c r="H177" s="3">
        <v>1.01</v>
      </c>
      <c r="I177" s="3">
        <v>19.239999999999998</v>
      </c>
      <c r="J177" s="2" t="s">
        <v>18</v>
      </c>
      <c r="K177" s="2" t="s">
        <v>32</v>
      </c>
      <c r="L177" s="1" t="s">
        <v>51</v>
      </c>
      <c r="M177" s="1">
        <v>5</v>
      </c>
      <c r="N177" s="12">
        <v>2024</v>
      </c>
    </row>
    <row r="178" spans="1:14" x14ac:dyDescent="0.25">
      <c r="A178" s="11">
        <v>289</v>
      </c>
      <c r="B178" s="1" t="s">
        <v>238</v>
      </c>
      <c r="C178" s="2" t="s">
        <v>139</v>
      </c>
      <c r="D178" s="1" t="s">
        <v>68</v>
      </c>
      <c r="E178" s="1" t="s">
        <v>17</v>
      </c>
      <c r="F178" s="1">
        <v>22</v>
      </c>
      <c r="G178" s="3">
        <v>4.5</v>
      </c>
      <c r="H178" s="3">
        <v>4.95</v>
      </c>
      <c r="I178" s="3">
        <v>94.05</v>
      </c>
      <c r="J178" s="2" t="s">
        <v>18</v>
      </c>
      <c r="K178" s="2" t="s">
        <v>26</v>
      </c>
      <c r="L178" s="1" t="s">
        <v>51</v>
      </c>
      <c r="M178" s="1">
        <v>5</v>
      </c>
      <c r="N178" s="12">
        <v>2024</v>
      </c>
    </row>
    <row r="179" spans="1:14" x14ac:dyDescent="0.25">
      <c r="A179" s="11">
        <v>75</v>
      </c>
      <c r="B179" s="1" t="s">
        <v>239</v>
      </c>
      <c r="C179" s="2" t="s">
        <v>48</v>
      </c>
      <c r="D179" s="1" t="s">
        <v>23</v>
      </c>
      <c r="E179" s="1" t="s">
        <v>49</v>
      </c>
      <c r="F179" s="1">
        <v>21</v>
      </c>
      <c r="G179" s="3">
        <v>18.899999999999999</v>
      </c>
      <c r="H179" s="3">
        <v>0</v>
      </c>
      <c r="I179" s="3">
        <v>396.9</v>
      </c>
      <c r="J179" s="2" t="s">
        <v>45</v>
      </c>
      <c r="K179" s="2" t="s">
        <v>26</v>
      </c>
      <c r="L179" s="1" t="s">
        <v>53</v>
      </c>
      <c r="M179" s="1">
        <v>6</v>
      </c>
      <c r="N179" s="12">
        <v>2024</v>
      </c>
    </row>
    <row r="180" spans="1:14" x14ac:dyDescent="0.25">
      <c r="A180" s="11">
        <v>204</v>
      </c>
      <c r="B180" s="1" t="s">
        <v>239</v>
      </c>
      <c r="C180" s="2" t="s">
        <v>128</v>
      </c>
      <c r="D180" s="1" t="s">
        <v>74</v>
      </c>
      <c r="E180" s="1" t="s">
        <v>57</v>
      </c>
      <c r="F180" s="1">
        <v>25</v>
      </c>
      <c r="G180" s="3">
        <v>5.9</v>
      </c>
      <c r="H180" s="3">
        <v>14.75</v>
      </c>
      <c r="I180" s="3">
        <v>152.66</v>
      </c>
      <c r="J180" s="2" t="s">
        <v>18</v>
      </c>
      <c r="K180" s="2" t="s">
        <v>19</v>
      </c>
      <c r="L180" s="1" t="s">
        <v>53</v>
      </c>
      <c r="M180" s="1">
        <v>6</v>
      </c>
      <c r="N180" s="12">
        <v>2024</v>
      </c>
    </row>
    <row r="181" spans="1:14" x14ac:dyDescent="0.25">
      <c r="A181" s="11">
        <v>254</v>
      </c>
      <c r="B181" s="1" t="s">
        <v>239</v>
      </c>
      <c r="C181" s="2" t="s">
        <v>207</v>
      </c>
      <c r="D181" s="1" t="s">
        <v>61</v>
      </c>
      <c r="E181" s="1" t="s">
        <v>57</v>
      </c>
      <c r="F181" s="1">
        <v>5</v>
      </c>
      <c r="G181" s="3">
        <v>32.9</v>
      </c>
      <c r="H181" s="3">
        <v>16.45</v>
      </c>
      <c r="I181" s="3">
        <v>170.26</v>
      </c>
      <c r="J181" s="2" t="s">
        <v>45</v>
      </c>
      <c r="K181" s="2" t="s">
        <v>32</v>
      </c>
      <c r="L181" s="1" t="s">
        <v>53</v>
      </c>
      <c r="M181" s="1">
        <v>6</v>
      </c>
      <c r="N181" s="12">
        <v>2024</v>
      </c>
    </row>
    <row r="182" spans="1:14" ht="25.5" x14ac:dyDescent="0.25">
      <c r="A182" s="11">
        <v>137</v>
      </c>
      <c r="B182" s="1" t="s">
        <v>240</v>
      </c>
      <c r="C182" s="2" t="s">
        <v>39</v>
      </c>
      <c r="D182" s="1" t="s">
        <v>16</v>
      </c>
      <c r="E182" s="1" t="s">
        <v>30</v>
      </c>
      <c r="F182" s="1">
        <v>8</v>
      </c>
      <c r="G182" s="3">
        <v>12.9</v>
      </c>
      <c r="H182" s="3">
        <v>0</v>
      </c>
      <c r="I182" s="3">
        <v>103.2</v>
      </c>
      <c r="J182" s="2" t="s">
        <v>40</v>
      </c>
      <c r="K182" s="2" t="s">
        <v>19</v>
      </c>
      <c r="L182" s="1" t="s">
        <v>37</v>
      </c>
      <c r="M182" s="1">
        <v>12</v>
      </c>
      <c r="N182" s="12">
        <v>2024</v>
      </c>
    </row>
    <row r="183" spans="1:14" ht="25.5" x14ac:dyDescent="0.25">
      <c r="A183" s="11">
        <v>170</v>
      </c>
      <c r="B183" s="1" t="s">
        <v>241</v>
      </c>
      <c r="C183" s="2" t="s">
        <v>94</v>
      </c>
      <c r="D183" s="1" t="s">
        <v>35</v>
      </c>
      <c r="E183" s="1" t="s">
        <v>95</v>
      </c>
      <c r="F183" s="1">
        <v>7</v>
      </c>
      <c r="G183" s="3">
        <v>19.899999999999999</v>
      </c>
      <c r="H183" s="3">
        <v>0</v>
      </c>
      <c r="I183" s="3">
        <v>139.30000000000001</v>
      </c>
      <c r="J183" s="2" t="s">
        <v>31</v>
      </c>
      <c r="K183" s="2" t="s">
        <v>26</v>
      </c>
      <c r="L183" s="1" t="s">
        <v>41</v>
      </c>
      <c r="M183" s="1">
        <v>2</v>
      </c>
      <c r="N183" s="12">
        <v>2024</v>
      </c>
    </row>
    <row r="184" spans="1:14" x14ac:dyDescent="0.25">
      <c r="A184" s="11">
        <v>248</v>
      </c>
      <c r="B184" s="1" t="s">
        <v>242</v>
      </c>
      <c r="C184" s="2" t="s">
        <v>134</v>
      </c>
      <c r="D184" s="1" t="s">
        <v>68</v>
      </c>
      <c r="E184" s="1" t="s">
        <v>17</v>
      </c>
      <c r="F184" s="1">
        <v>21</v>
      </c>
      <c r="G184" s="3">
        <v>0.75</v>
      </c>
      <c r="H184" s="3">
        <v>0</v>
      </c>
      <c r="I184" s="3">
        <v>15.75</v>
      </c>
      <c r="J184" s="2" t="s">
        <v>18</v>
      </c>
      <c r="K184" s="2" t="s">
        <v>26</v>
      </c>
      <c r="L184" s="1" t="s">
        <v>46</v>
      </c>
      <c r="M184" s="1">
        <v>3</v>
      </c>
      <c r="N184" s="12">
        <v>2024</v>
      </c>
    </row>
    <row r="185" spans="1:14" x14ac:dyDescent="0.25">
      <c r="A185" s="11">
        <v>278</v>
      </c>
      <c r="B185" s="1" t="s">
        <v>242</v>
      </c>
      <c r="C185" s="2" t="s">
        <v>15</v>
      </c>
      <c r="D185" s="1" t="s">
        <v>16</v>
      </c>
      <c r="E185" s="1" t="s">
        <v>17</v>
      </c>
      <c r="F185" s="1">
        <v>16</v>
      </c>
      <c r="G185" s="3">
        <v>3.9</v>
      </c>
      <c r="H185" s="3">
        <v>0</v>
      </c>
      <c r="I185" s="3">
        <v>62.4</v>
      </c>
      <c r="J185" s="2" t="s">
        <v>25</v>
      </c>
      <c r="K185" s="2" t="s">
        <v>19</v>
      </c>
      <c r="L185" s="1" t="s">
        <v>46</v>
      </c>
      <c r="M185" s="1">
        <v>3</v>
      </c>
      <c r="N185" s="12">
        <v>2024</v>
      </c>
    </row>
    <row r="186" spans="1:14" x14ac:dyDescent="0.25">
      <c r="A186" s="11">
        <v>55</v>
      </c>
      <c r="B186" s="1" t="s">
        <v>243</v>
      </c>
      <c r="C186" s="2" t="s">
        <v>154</v>
      </c>
      <c r="D186" s="1" t="s">
        <v>29</v>
      </c>
      <c r="E186" s="1" t="s">
        <v>127</v>
      </c>
      <c r="F186" s="1">
        <v>14</v>
      </c>
      <c r="G186" s="3">
        <v>8.5</v>
      </c>
      <c r="H186" s="3">
        <v>11.9</v>
      </c>
      <c r="I186" s="3">
        <v>107.1</v>
      </c>
      <c r="J186" s="2" t="s">
        <v>40</v>
      </c>
      <c r="K186" s="2" t="s">
        <v>26</v>
      </c>
      <c r="L186" s="1" t="s">
        <v>58</v>
      </c>
      <c r="M186" s="1">
        <v>8</v>
      </c>
      <c r="N186" s="12">
        <v>2024</v>
      </c>
    </row>
    <row r="187" spans="1:14" x14ac:dyDescent="0.25">
      <c r="A187" s="11">
        <v>155</v>
      </c>
      <c r="B187" s="1" t="s">
        <v>243</v>
      </c>
      <c r="C187" s="2" t="s">
        <v>96</v>
      </c>
      <c r="D187" s="1" t="s">
        <v>61</v>
      </c>
      <c r="E187" s="1" t="s">
        <v>62</v>
      </c>
      <c r="F187" s="6"/>
      <c r="G187" s="3">
        <v>9.9</v>
      </c>
      <c r="H187" s="3">
        <v>0</v>
      </c>
      <c r="I187" s="3">
        <v>99</v>
      </c>
      <c r="J187" s="2" t="s">
        <v>45</v>
      </c>
      <c r="K187" s="2" t="s">
        <v>32</v>
      </c>
      <c r="L187" s="1" t="s">
        <v>58</v>
      </c>
      <c r="M187" s="1">
        <v>8</v>
      </c>
      <c r="N187" s="12">
        <v>2024</v>
      </c>
    </row>
    <row r="188" spans="1:14" ht="25.5" x14ac:dyDescent="0.25">
      <c r="A188" s="11">
        <v>73</v>
      </c>
      <c r="B188" s="1" t="s">
        <v>244</v>
      </c>
      <c r="C188" s="2" t="s">
        <v>60</v>
      </c>
      <c r="D188" s="1" t="s">
        <v>61</v>
      </c>
      <c r="E188" s="1" t="s">
        <v>62</v>
      </c>
      <c r="F188" s="1">
        <v>17</v>
      </c>
      <c r="G188" s="3">
        <v>12.9</v>
      </c>
      <c r="H188" s="3">
        <v>10.96</v>
      </c>
      <c r="I188" s="3">
        <v>208.34</v>
      </c>
      <c r="J188" s="2" t="s">
        <v>31</v>
      </c>
      <c r="K188" s="2" t="s">
        <v>32</v>
      </c>
      <c r="L188" s="1" t="s">
        <v>65</v>
      </c>
      <c r="M188" s="1">
        <v>11</v>
      </c>
      <c r="N188" s="12">
        <v>2024</v>
      </c>
    </row>
    <row r="189" spans="1:14" ht="25.5" x14ac:dyDescent="0.25">
      <c r="A189" s="11">
        <v>209</v>
      </c>
      <c r="B189" s="1" t="s">
        <v>245</v>
      </c>
      <c r="C189" s="2" t="s">
        <v>77</v>
      </c>
      <c r="D189" s="1" t="s">
        <v>74</v>
      </c>
      <c r="E189" s="1" t="s">
        <v>57</v>
      </c>
      <c r="F189" s="1">
        <v>30</v>
      </c>
      <c r="G189" s="3">
        <v>3.9</v>
      </c>
      <c r="H189" s="3">
        <v>5.85</v>
      </c>
      <c r="I189" s="3">
        <v>111.15</v>
      </c>
      <c r="J189" s="2" t="s">
        <v>25</v>
      </c>
      <c r="K189" s="2" t="s">
        <v>26</v>
      </c>
      <c r="L189" s="1" t="s">
        <v>41</v>
      </c>
      <c r="M189" s="1">
        <v>2</v>
      </c>
      <c r="N189" s="12">
        <v>2024</v>
      </c>
    </row>
    <row r="190" spans="1:14" x14ac:dyDescent="0.25">
      <c r="A190" s="11">
        <v>29</v>
      </c>
      <c r="B190" s="1" t="s">
        <v>246</v>
      </c>
      <c r="C190" s="2" t="s">
        <v>55</v>
      </c>
      <c r="D190" s="1" t="s">
        <v>56</v>
      </c>
      <c r="E190" s="1" t="s">
        <v>57</v>
      </c>
      <c r="F190" s="1">
        <v>1</v>
      </c>
      <c r="G190" s="3">
        <v>22.9</v>
      </c>
      <c r="H190" s="3">
        <v>0</v>
      </c>
      <c r="I190" s="3">
        <v>22.9</v>
      </c>
      <c r="J190" s="2" t="s">
        <v>50</v>
      </c>
      <c r="K190" s="2" t="s">
        <v>32</v>
      </c>
      <c r="L190" s="1" t="s">
        <v>46</v>
      </c>
      <c r="M190" s="1">
        <v>3</v>
      </c>
      <c r="N190" s="12">
        <v>2024</v>
      </c>
    </row>
    <row r="191" spans="1:14" x14ac:dyDescent="0.25">
      <c r="A191" s="11">
        <v>59</v>
      </c>
      <c r="B191" s="1" t="s">
        <v>246</v>
      </c>
      <c r="C191" s="2" t="s">
        <v>204</v>
      </c>
      <c r="D191" s="1" t="s">
        <v>23</v>
      </c>
      <c r="E191" s="1" t="s">
        <v>49</v>
      </c>
      <c r="F191" s="1">
        <v>17</v>
      </c>
      <c r="G191" s="3">
        <v>3.5</v>
      </c>
      <c r="H191" s="3">
        <v>0</v>
      </c>
      <c r="I191" s="3">
        <v>59.5</v>
      </c>
      <c r="J191" s="2" t="s">
        <v>45</v>
      </c>
      <c r="K191" s="2" t="s">
        <v>32</v>
      </c>
      <c r="L191" s="1" t="s">
        <v>46</v>
      </c>
      <c r="M191" s="1">
        <v>3</v>
      </c>
      <c r="N191" s="12">
        <v>2024</v>
      </c>
    </row>
    <row r="192" spans="1:14" x14ac:dyDescent="0.25">
      <c r="A192" s="11">
        <v>68</v>
      </c>
      <c r="B192" s="1" t="s">
        <v>246</v>
      </c>
      <c r="C192" s="2" t="s">
        <v>139</v>
      </c>
      <c r="D192" s="1" t="s">
        <v>68</v>
      </c>
      <c r="E192" s="1" t="s">
        <v>17</v>
      </c>
      <c r="F192" s="1">
        <v>27</v>
      </c>
      <c r="G192" s="3">
        <v>4.5</v>
      </c>
      <c r="H192" s="3">
        <v>12.15</v>
      </c>
      <c r="I192" s="3">
        <v>109.35</v>
      </c>
      <c r="J192" s="2" t="s">
        <v>40</v>
      </c>
      <c r="K192" s="2" t="s">
        <v>19</v>
      </c>
      <c r="L192" s="1" t="s">
        <v>46</v>
      </c>
      <c r="M192" s="1">
        <v>3</v>
      </c>
      <c r="N192" s="12">
        <v>2024</v>
      </c>
    </row>
    <row r="193" spans="1:14" x14ac:dyDescent="0.25">
      <c r="A193" s="11">
        <v>172</v>
      </c>
      <c r="B193" s="1" t="s">
        <v>246</v>
      </c>
      <c r="C193" s="2" t="s">
        <v>43</v>
      </c>
      <c r="D193" s="1" t="s">
        <v>23</v>
      </c>
      <c r="E193" s="1" t="s">
        <v>44</v>
      </c>
      <c r="F193" s="1">
        <v>14</v>
      </c>
      <c r="G193" s="3">
        <v>12.9</v>
      </c>
      <c r="H193" s="3">
        <v>9.0299999999999994</v>
      </c>
      <c r="I193" s="3">
        <v>171.57</v>
      </c>
      <c r="J193" s="2" t="s">
        <v>40</v>
      </c>
      <c r="K193" s="2" t="s">
        <v>26</v>
      </c>
      <c r="L193" s="1" t="s">
        <v>46</v>
      </c>
      <c r="M193" s="1">
        <v>3</v>
      </c>
      <c r="N193" s="12">
        <v>2024</v>
      </c>
    </row>
    <row r="194" spans="1:14" x14ac:dyDescent="0.25">
      <c r="A194" s="11">
        <v>223</v>
      </c>
      <c r="B194" s="1" t="s">
        <v>246</v>
      </c>
      <c r="C194" s="2" t="s">
        <v>184</v>
      </c>
      <c r="D194" s="1" t="s">
        <v>23</v>
      </c>
      <c r="E194" s="1" t="s">
        <v>185</v>
      </c>
      <c r="F194" s="1">
        <v>15</v>
      </c>
      <c r="G194" s="3">
        <v>4.9000000000000004</v>
      </c>
      <c r="H194" s="3">
        <v>0</v>
      </c>
      <c r="I194" s="3">
        <v>73.5</v>
      </c>
      <c r="J194" s="2" t="s">
        <v>50</v>
      </c>
      <c r="K194" s="2" t="s">
        <v>19</v>
      </c>
      <c r="L194" s="1" t="s">
        <v>46</v>
      </c>
      <c r="M194" s="1">
        <v>3</v>
      </c>
      <c r="N194" s="12">
        <v>2024</v>
      </c>
    </row>
    <row r="195" spans="1:14" x14ac:dyDescent="0.25">
      <c r="A195" s="11">
        <v>288</v>
      </c>
      <c r="B195" s="1" t="s">
        <v>246</v>
      </c>
      <c r="C195" s="2" t="s">
        <v>94</v>
      </c>
      <c r="D195" s="1" t="s">
        <v>35</v>
      </c>
      <c r="E195" s="1" t="s">
        <v>95</v>
      </c>
      <c r="F195" s="1">
        <v>20</v>
      </c>
      <c r="G195" s="3">
        <v>19.899999999999999</v>
      </c>
      <c r="H195" s="3">
        <v>0</v>
      </c>
      <c r="I195" s="3">
        <v>398</v>
      </c>
      <c r="J195" s="2" t="s">
        <v>40</v>
      </c>
      <c r="K195" s="2" t="s">
        <v>32</v>
      </c>
      <c r="L195" s="1" t="s">
        <v>46</v>
      </c>
      <c r="M195" s="1">
        <v>3</v>
      </c>
      <c r="N195" s="12">
        <v>2024</v>
      </c>
    </row>
    <row r="196" spans="1:14" x14ac:dyDescent="0.25">
      <c r="A196" s="11">
        <v>252</v>
      </c>
      <c r="B196" s="1" t="s">
        <v>247</v>
      </c>
      <c r="C196" s="2" t="s">
        <v>132</v>
      </c>
      <c r="D196" s="1" t="s">
        <v>61</v>
      </c>
      <c r="E196" s="1" t="s">
        <v>30</v>
      </c>
      <c r="F196" s="1">
        <v>4</v>
      </c>
      <c r="G196" s="3">
        <v>4.2</v>
      </c>
      <c r="H196" s="3">
        <v>0.84</v>
      </c>
      <c r="I196" s="3">
        <v>15.96</v>
      </c>
      <c r="J196" s="2" t="s">
        <v>25</v>
      </c>
      <c r="K196" s="2" t="s">
        <v>26</v>
      </c>
      <c r="L196" s="1" t="s">
        <v>51</v>
      </c>
      <c r="M196" s="1">
        <v>5</v>
      </c>
      <c r="N196" s="12">
        <v>2024</v>
      </c>
    </row>
    <row r="197" spans="1:14" x14ac:dyDescent="0.25">
      <c r="A197" s="11">
        <v>128</v>
      </c>
      <c r="B197" s="1" t="s">
        <v>248</v>
      </c>
      <c r="C197" s="2" t="s">
        <v>94</v>
      </c>
      <c r="D197" s="1" t="s">
        <v>35</v>
      </c>
      <c r="E197" s="1" t="s">
        <v>95</v>
      </c>
      <c r="F197" s="1">
        <v>29</v>
      </c>
      <c r="G197" s="3">
        <v>19.899999999999999</v>
      </c>
      <c r="H197" s="3">
        <v>28.86</v>
      </c>
      <c r="I197" s="3">
        <v>548.24</v>
      </c>
      <c r="J197" s="2" t="s">
        <v>31</v>
      </c>
      <c r="K197" s="2" t="s">
        <v>19</v>
      </c>
      <c r="L197" s="1" t="s">
        <v>53</v>
      </c>
      <c r="M197" s="1">
        <v>6</v>
      </c>
      <c r="N197" s="12">
        <v>2024</v>
      </c>
    </row>
    <row r="198" spans="1:14" x14ac:dyDescent="0.25">
      <c r="A198" s="11">
        <v>64</v>
      </c>
      <c r="B198" s="1" t="s">
        <v>249</v>
      </c>
      <c r="C198" s="2" t="s">
        <v>48</v>
      </c>
      <c r="D198" s="1" t="s">
        <v>23</v>
      </c>
      <c r="E198" s="1" t="s">
        <v>49</v>
      </c>
      <c r="F198" s="1">
        <v>22</v>
      </c>
      <c r="G198" s="3">
        <v>18.899999999999999</v>
      </c>
      <c r="H198" s="3">
        <v>0</v>
      </c>
      <c r="I198" s="3">
        <v>415.8</v>
      </c>
      <c r="J198" s="2" t="s">
        <v>18</v>
      </c>
      <c r="K198" s="2" t="s">
        <v>19</v>
      </c>
      <c r="L198" s="1" t="s">
        <v>89</v>
      </c>
      <c r="M198" s="1">
        <v>7</v>
      </c>
      <c r="N198" s="12">
        <v>2024</v>
      </c>
    </row>
    <row r="199" spans="1:14" x14ac:dyDescent="0.25">
      <c r="A199" s="11">
        <v>239</v>
      </c>
      <c r="B199" s="1" t="s">
        <v>249</v>
      </c>
      <c r="C199" s="2" t="s">
        <v>43</v>
      </c>
      <c r="D199" s="1" t="s">
        <v>23</v>
      </c>
      <c r="E199" s="1" t="s">
        <v>44</v>
      </c>
      <c r="F199" s="1">
        <v>9</v>
      </c>
      <c r="G199" s="3">
        <v>12.9</v>
      </c>
      <c r="H199" s="3">
        <v>11.61</v>
      </c>
      <c r="I199" s="3">
        <v>104.49</v>
      </c>
      <c r="J199" s="2" t="s">
        <v>25</v>
      </c>
      <c r="K199" s="2" t="s">
        <v>19</v>
      </c>
      <c r="L199" s="1" t="s">
        <v>89</v>
      </c>
      <c r="M199" s="1">
        <v>7</v>
      </c>
      <c r="N199" s="12">
        <v>2024</v>
      </c>
    </row>
    <row r="200" spans="1:14" x14ac:dyDescent="0.25">
      <c r="A200" s="11">
        <v>293</v>
      </c>
      <c r="B200" s="1" t="s">
        <v>249</v>
      </c>
      <c r="C200" s="2" t="s">
        <v>118</v>
      </c>
      <c r="D200" s="1" t="s">
        <v>16</v>
      </c>
      <c r="E200" s="1" t="s">
        <v>119</v>
      </c>
      <c r="F200" s="1">
        <v>2</v>
      </c>
      <c r="G200" s="3">
        <v>2.5</v>
      </c>
      <c r="H200" s="3">
        <v>0</v>
      </c>
      <c r="I200" s="3">
        <v>5</v>
      </c>
      <c r="J200" s="2" t="s">
        <v>45</v>
      </c>
      <c r="K200" s="2" t="s">
        <v>19</v>
      </c>
      <c r="L200" s="1" t="s">
        <v>89</v>
      </c>
      <c r="M200" s="1">
        <v>7</v>
      </c>
      <c r="N200" s="12">
        <v>2024</v>
      </c>
    </row>
    <row r="201" spans="1:14" x14ac:dyDescent="0.25">
      <c r="A201" s="11">
        <v>106</v>
      </c>
      <c r="B201" s="1" t="s">
        <v>250</v>
      </c>
      <c r="C201" s="2" t="s">
        <v>134</v>
      </c>
      <c r="D201" s="1" t="s">
        <v>68</v>
      </c>
      <c r="E201" s="1" t="s">
        <v>17</v>
      </c>
      <c r="F201" s="1">
        <v>29</v>
      </c>
      <c r="G201" s="3">
        <v>0.75</v>
      </c>
      <c r="H201" s="3">
        <v>2.1800000000000002</v>
      </c>
      <c r="I201" s="3">
        <v>19.57</v>
      </c>
      <c r="J201" s="2" t="s">
        <v>45</v>
      </c>
      <c r="K201" s="2" t="s">
        <v>26</v>
      </c>
      <c r="L201" s="1" t="s">
        <v>58</v>
      </c>
      <c r="M201" s="1">
        <v>8</v>
      </c>
      <c r="N201" s="12">
        <v>2024</v>
      </c>
    </row>
    <row r="202" spans="1:14" x14ac:dyDescent="0.25">
      <c r="A202" s="11">
        <v>199</v>
      </c>
      <c r="B202" s="1" t="s">
        <v>250</v>
      </c>
      <c r="C202" s="2" t="s">
        <v>128</v>
      </c>
      <c r="D202" s="1" t="s">
        <v>74</v>
      </c>
      <c r="E202" s="1" t="s">
        <v>57</v>
      </c>
      <c r="F202" s="1">
        <v>5</v>
      </c>
      <c r="G202" s="3">
        <v>5.9</v>
      </c>
      <c r="H202" s="3">
        <v>1.48</v>
      </c>
      <c r="I202" s="3">
        <v>28.02</v>
      </c>
      <c r="J202" s="2" t="s">
        <v>45</v>
      </c>
      <c r="K202" s="2" t="s">
        <v>26</v>
      </c>
      <c r="L202" s="1" t="s">
        <v>58</v>
      </c>
      <c r="M202" s="1">
        <v>8</v>
      </c>
      <c r="N202" s="12">
        <v>2024</v>
      </c>
    </row>
    <row r="203" spans="1:14" ht="25.5" x14ac:dyDescent="0.25">
      <c r="A203" s="11">
        <v>149</v>
      </c>
      <c r="B203" s="1" t="s">
        <v>251</v>
      </c>
      <c r="C203" s="2" t="s">
        <v>132</v>
      </c>
      <c r="D203" s="1" t="s">
        <v>61</v>
      </c>
      <c r="E203" s="1" t="s">
        <v>30</v>
      </c>
      <c r="F203" s="1">
        <v>3</v>
      </c>
      <c r="G203" s="3">
        <v>4.2</v>
      </c>
      <c r="H203" s="3">
        <v>0</v>
      </c>
      <c r="I203" s="3">
        <v>12.6</v>
      </c>
      <c r="J203" s="2" t="s">
        <v>40</v>
      </c>
      <c r="K203" s="2" t="s">
        <v>19</v>
      </c>
      <c r="L203" s="1" t="s">
        <v>105</v>
      </c>
      <c r="M203" s="1">
        <v>9</v>
      </c>
      <c r="N203" s="12">
        <v>2024</v>
      </c>
    </row>
    <row r="204" spans="1:14" ht="25.5" x14ac:dyDescent="0.25">
      <c r="A204" s="11">
        <v>120</v>
      </c>
      <c r="B204" s="1" t="s">
        <v>252</v>
      </c>
      <c r="C204" s="2" t="s">
        <v>150</v>
      </c>
      <c r="D204" s="1" t="s">
        <v>29</v>
      </c>
      <c r="E204" s="1" t="s">
        <v>151</v>
      </c>
      <c r="F204" s="1">
        <v>16</v>
      </c>
      <c r="G204" s="5">
        <v>-11.9</v>
      </c>
      <c r="H204" s="3">
        <v>0</v>
      </c>
      <c r="I204" s="5">
        <v>-190.4</v>
      </c>
      <c r="J204" s="2" t="s">
        <v>31</v>
      </c>
      <c r="K204" s="2" t="s">
        <v>19</v>
      </c>
      <c r="L204" s="1" t="s">
        <v>27</v>
      </c>
      <c r="M204" s="1">
        <v>10</v>
      </c>
      <c r="N204" s="12">
        <v>2024</v>
      </c>
    </row>
    <row r="205" spans="1:14" ht="25.5" x14ac:dyDescent="0.25">
      <c r="A205" s="11">
        <v>183</v>
      </c>
      <c r="B205" s="1" t="s">
        <v>252</v>
      </c>
      <c r="C205" s="2" t="s">
        <v>147</v>
      </c>
      <c r="D205" s="1" t="s">
        <v>74</v>
      </c>
      <c r="E205" s="1" t="s">
        <v>57</v>
      </c>
      <c r="F205" s="1">
        <v>1</v>
      </c>
      <c r="G205" s="3">
        <v>4.5</v>
      </c>
      <c r="H205" s="3">
        <v>0</v>
      </c>
      <c r="I205" s="3">
        <v>4.5</v>
      </c>
      <c r="J205" s="2" t="s">
        <v>50</v>
      </c>
      <c r="K205" s="2" t="s">
        <v>32</v>
      </c>
      <c r="L205" s="1" t="s">
        <v>27</v>
      </c>
      <c r="M205" s="1">
        <v>10</v>
      </c>
      <c r="N205" s="12">
        <v>2024</v>
      </c>
    </row>
    <row r="206" spans="1:14" ht="25.5" x14ac:dyDescent="0.25">
      <c r="A206" s="11">
        <v>216</v>
      </c>
      <c r="B206" s="1" t="s">
        <v>253</v>
      </c>
      <c r="C206" s="2" t="s">
        <v>126</v>
      </c>
      <c r="D206" s="1" t="s">
        <v>29</v>
      </c>
      <c r="E206" s="1" t="s">
        <v>127</v>
      </c>
      <c r="F206" s="1">
        <v>29</v>
      </c>
      <c r="G206" s="3">
        <v>6.9</v>
      </c>
      <c r="H206" s="3">
        <v>0</v>
      </c>
      <c r="I206" s="3">
        <v>200.1</v>
      </c>
      <c r="J206" s="2" t="s">
        <v>25</v>
      </c>
      <c r="K206" s="2" t="s">
        <v>19</v>
      </c>
      <c r="L206" s="1" t="s">
        <v>37</v>
      </c>
      <c r="M206" s="1">
        <v>12</v>
      </c>
      <c r="N206" s="12">
        <v>2024</v>
      </c>
    </row>
    <row r="207" spans="1:14" x14ac:dyDescent="0.25">
      <c r="A207" s="11">
        <v>79</v>
      </c>
      <c r="B207" s="1" t="s">
        <v>254</v>
      </c>
      <c r="C207" s="2" t="s">
        <v>126</v>
      </c>
      <c r="D207" s="1" t="s">
        <v>29</v>
      </c>
      <c r="E207" s="1" t="s">
        <v>127</v>
      </c>
      <c r="F207" s="6"/>
      <c r="G207" s="3">
        <v>6.9</v>
      </c>
      <c r="H207" s="3">
        <v>0</v>
      </c>
      <c r="I207" s="3">
        <v>82.8</v>
      </c>
      <c r="J207" s="2" t="s">
        <v>31</v>
      </c>
      <c r="K207" s="2" t="s">
        <v>32</v>
      </c>
      <c r="L207" s="1" t="s">
        <v>20</v>
      </c>
      <c r="M207" s="1">
        <v>1</v>
      </c>
      <c r="N207" s="12">
        <v>2024</v>
      </c>
    </row>
    <row r="208" spans="1:14" ht="25.5" x14ac:dyDescent="0.25">
      <c r="A208" s="11">
        <v>8</v>
      </c>
      <c r="B208" s="1" t="s">
        <v>255</v>
      </c>
      <c r="C208" s="2" t="s">
        <v>85</v>
      </c>
      <c r="D208" s="1" t="s">
        <v>23</v>
      </c>
      <c r="E208" s="1" t="s">
        <v>86</v>
      </c>
      <c r="F208" s="1">
        <v>13</v>
      </c>
      <c r="G208" s="3">
        <v>7.9</v>
      </c>
      <c r="H208" s="3">
        <v>0</v>
      </c>
      <c r="I208" s="3">
        <v>102.7</v>
      </c>
      <c r="J208" s="2" t="s">
        <v>31</v>
      </c>
      <c r="K208" s="2" t="s">
        <v>19</v>
      </c>
      <c r="L208" s="1" t="s">
        <v>41</v>
      </c>
      <c r="M208" s="1">
        <v>2</v>
      </c>
      <c r="N208" s="12">
        <v>2024</v>
      </c>
    </row>
    <row r="209" spans="1:14" ht="25.5" x14ac:dyDescent="0.25">
      <c r="A209" s="11">
        <v>162</v>
      </c>
      <c r="B209" s="1" t="s">
        <v>255</v>
      </c>
      <c r="C209" s="2" t="s">
        <v>43</v>
      </c>
      <c r="D209" s="1" t="s">
        <v>23</v>
      </c>
      <c r="E209" s="1" t="s">
        <v>44</v>
      </c>
      <c r="F209" s="1">
        <v>19</v>
      </c>
      <c r="G209" s="3">
        <v>12.9</v>
      </c>
      <c r="H209" s="3">
        <v>0</v>
      </c>
      <c r="I209" s="3">
        <v>245.1</v>
      </c>
      <c r="J209" s="2" t="s">
        <v>18</v>
      </c>
      <c r="K209" s="2" t="s">
        <v>19</v>
      </c>
      <c r="L209" s="1" t="s">
        <v>41</v>
      </c>
      <c r="M209" s="1">
        <v>2</v>
      </c>
      <c r="N209" s="12">
        <v>2024</v>
      </c>
    </row>
    <row r="210" spans="1:14" x14ac:dyDescent="0.25">
      <c r="A210" s="11">
        <v>25</v>
      </c>
      <c r="B210" s="1" t="s">
        <v>256</v>
      </c>
      <c r="C210" s="2" t="s">
        <v>82</v>
      </c>
      <c r="D210" s="1" t="s">
        <v>35</v>
      </c>
      <c r="E210" s="1" t="s">
        <v>36</v>
      </c>
      <c r="F210" s="1">
        <v>14</v>
      </c>
      <c r="G210" s="3">
        <v>14.9</v>
      </c>
      <c r="H210" s="3">
        <v>20.86</v>
      </c>
      <c r="I210" s="3">
        <v>187.74</v>
      </c>
      <c r="J210" s="2" t="s">
        <v>25</v>
      </c>
      <c r="K210" s="2" t="s">
        <v>19</v>
      </c>
      <c r="L210" s="1" t="s">
        <v>46</v>
      </c>
      <c r="M210" s="1">
        <v>3</v>
      </c>
      <c r="N210" s="12">
        <v>2024</v>
      </c>
    </row>
    <row r="211" spans="1:14" x14ac:dyDescent="0.25">
      <c r="A211" s="11">
        <v>195</v>
      </c>
      <c r="B211" s="1" t="s">
        <v>256</v>
      </c>
      <c r="C211" s="2" t="s">
        <v>126</v>
      </c>
      <c r="D211" s="1" t="s">
        <v>29</v>
      </c>
      <c r="E211" s="1" t="s">
        <v>127</v>
      </c>
      <c r="F211" s="1">
        <v>18</v>
      </c>
      <c r="G211" s="3">
        <v>6.9</v>
      </c>
      <c r="H211" s="3">
        <v>0</v>
      </c>
      <c r="I211" s="3">
        <v>124.2</v>
      </c>
      <c r="J211" s="2" t="s">
        <v>50</v>
      </c>
      <c r="K211" s="2" t="s">
        <v>19</v>
      </c>
      <c r="L211" s="1" t="s">
        <v>46</v>
      </c>
      <c r="M211" s="1">
        <v>3</v>
      </c>
      <c r="N211" s="12">
        <v>2024</v>
      </c>
    </row>
    <row r="212" spans="1:14" x14ac:dyDescent="0.25">
      <c r="A212" s="11">
        <v>230</v>
      </c>
      <c r="B212" s="1" t="s">
        <v>257</v>
      </c>
      <c r="C212" s="2" t="s">
        <v>39</v>
      </c>
      <c r="D212" s="1" t="s">
        <v>16</v>
      </c>
      <c r="E212" s="1" t="s">
        <v>30</v>
      </c>
      <c r="F212" s="1">
        <v>7</v>
      </c>
      <c r="G212" s="3">
        <v>12.9</v>
      </c>
      <c r="H212" s="3">
        <v>9.0299999999999994</v>
      </c>
      <c r="I212" s="3">
        <v>81.27</v>
      </c>
      <c r="J212" s="2" t="s">
        <v>31</v>
      </c>
      <c r="K212" s="2" t="s">
        <v>26</v>
      </c>
      <c r="L212" s="1" t="s">
        <v>71</v>
      </c>
      <c r="M212" s="1">
        <v>4</v>
      </c>
      <c r="N212" s="12">
        <v>2024</v>
      </c>
    </row>
    <row r="213" spans="1:14" x14ac:dyDescent="0.25">
      <c r="A213" s="11">
        <v>283</v>
      </c>
      <c r="B213" s="1" t="s">
        <v>258</v>
      </c>
      <c r="C213" s="2" t="s">
        <v>144</v>
      </c>
      <c r="D213" s="1" t="s">
        <v>29</v>
      </c>
      <c r="E213" s="1" t="s">
        <v>145</v>
      </c>
      <c r="F213" s="1">
        <v>1</v>
      </c>
      <c r="G213" s="3">
        <v>3.9</v>
      </c>
      <c r="H213" s="3">
        <v>0</v>
      </c>
      <c r="I213" s="3">
        <v>3.9</v>
      </c>
      <c r="J213" s="2" t="s">
        <v>45</v>
      </c>
      <c r="K213" s="2" t="s">
        <v>26</v>
      </c>
      <c r="L213" s="1" t="s">
        <v>53</v>
      </c>
      <c r="M213" s="1">
        <v>6</v>
      </c>
      <c r="N213" s="12">
        <v>2024</v>
      </c>
    </row>
    <row r="214" spans="1:14" ht="25.5" x14ac:dyDescent="0.25">
      <c r="A214" s="11">
        <v>45</v>
      </c>
      <c r="B214" s="1" t="s">
        <v>259</v>
      </c>
      <c r="C214" s="2" t="s">
        <v>172</v>
      </c>
      <c r="D214" s="1" t="s">
        <v>56</v>
      </c>
      <c r="E214" s="1" t="s">
        <v>57</v>
      </c>
      <c r="F214" s="1">
        <v>8</v>
      </c>
      <c r="G214" s="3">
        <v>89.9</v>
      </c>
      <c r="H214" s="3">
        <v>35.96</v>
      </c>
      <c r="I214" s="3">
        <v>683.24</v>
      </c>
      <c r="J214" s="2" t="s">
        <v>18</v>
      </c>
      <c r="K214" s="2" t="s">
        <v>32</v>
      </c>
      <c r="L214" s="1" t="s">
        <v>27</v>
      </c>
      <c r="M214" s="1">
        <v>10</v>
      </c>
      <c r="N214" s="12">
        <v>2024</v>
      </c>
    </row>
    <row r="215" spans="1:14" ht="25.5" x14ac:dyDescent="0.25">
      <c r="A215" s="11">
        <v>241</v>
      </c>
      <c r="B215" s="1" t="s">
        <v>260</v>
      </c>
      <c r="C215" s="2" t="s">
        <v>79</v>
      </c>
      <c r="D215" s="1" t="s">
        <v>29</v>
      </c>
      <c r="E215" s="1" t="s">
        <v>80</v>
      </c>
      <c r="F215" s="1">
        <v>4</v>
      </c>
      <c r="G215" s="3">
        <v>7.9</v>
      </c>
      <c r="H215" s="3">
        <v>0</v>
      </c>
      <c r="I215" s="3">
        <v>31.6</v>
      </c>
      <c r="J215" s="2" t="s">
        <v>18</v>
      </c>
      <c r="K215" s="2" t="s">
        <v>32</v>
      </c>
      <c r="L215" s="1" t="s">
        <v>65</v>
      </c>
      <c r="M215" s="1">
        <v>11</v>
      </c>
      <c r="N215" s="12">
        <v>2024</v>
      </c>
    </row>
    <row r="216" spans="1:14" ht="25.5" x14ac:dyDescent="0.25">
      <c r="A216" s="11">
        <v>107</v>
      </c>
      <c r="B216" s="1" t="s">
        <v>261</v>
      </c>
      <c r="C216" s="2" t="s">
        <v>150</v>
      </c>
      <c r="D216" s="1" t="s">
        <v>29</v>
      </c>
      <c r="E216" s="1" t="s">
        <v>151</v>
      </c>
      <c r="F216" s="1">
        <v>16</v>
      </c>
      <c r="G216" s="3">
        <v>11.9</v>
      </c>
      <c r="H216" s="3">
        <v>9.52</v>
      </c>
      <c r="I216" s="3">
        <v>180.88</v>
      </c>
      <c r="J216" s="2" t="s">
        <v>45</v>
      </c>
      <c r="K216" s="2" t="s">
        <v>32</v>
      </c>
      <c r="L216" s="1" t="s">
        <v>37</v>
      </c>
      <c r="M216" s="1">
        <v>12</v>
      </c>
      <c r="N216" s="12">
        <v>2024</v>
      </c>
    </row>
    <row r="217" spans="1:14" ht="25.5" x14ac:dyDescent="0.25">
      <c r="A217" s="11">
        <v>247</v>
      </c>
      <c r="B217" s="1" t="s">
        <v>261</v>
      </c>
      <c r="C217" s="2" t="s">
        <v>122</v>
      </c>
      <c r="D217" s="1" t="s">
        <v>74</v>
      </c>
      <c r="E217" s="1" t="s">
        <v>57</v>
      </c>
      <c r="F217" s="1">
        <v>14</v>
      </c>
      <c r="G217" s="3">
        <v>7.9</v>
      </c>
      <c r="H217" s="3">
        <v>11.06</v>
      </c>
      <c r="I217" s="3">
        <v>99.54</v>
      </c>
      <c r="J217" s="2" t="s">
        <v>40</v>
      </c>
      <c r="K217" s="2" t="s">
        <v>26</v>
      </c>
      <c r="L217" s="1" t="s">
        <v>37</v>
      </c>
      <c r="M217" s="1">
        <v>12</v>
      </c>
      <c r="N217" s="12">
        <v>2024</v>
      </c>
    </row>
    <row r="218" spans="1:14" x14ac:dyDescent="0.25">
      <c r="A218" s="11">
        <v>92</v>
      </c>
      <c r="B218" s="1" t="s">
        <v>262</v>
      </c>
      <c r="C218" s="2" t="s">
        <v>136</v>
      </c>
      <c r="D218" s="1" t="s">
        <v>35</v>
      </c>
      <c r="E218" s="1" t="s">
        <v>137</v>
      </c>
      <c r="F218" s="1">
        <v>14</v>
      </c>
      <c r="G218" s="3">
        <v>4.9000000000000004</v>
      </c>
      <c r="H218" s="3">
        <v>0</v>
      </c>
      <c r="I218" s="3">
        <v>68.599999999999994</v>
      </c>
      <c r="J218" s="2" t="s">
        <v>50</v>
      </c>
      <c r="K218" s="2" t="s">
        <v>26</v>
      </c>
      <c r="L218" s="1" t="s">
        <v>20</v>
      </c>
      <c r="M218" s="1">
        <v>1</v>
      </c>
      <c r="N218" s="12">
        <v>2024</v>
      </c>
    </row>
    <row r="219" spans="1:14" x14ac:dyDescent="0.25">
      <c r="A219" s="11">
        <v>187</v>
      </c>
      <c r="B219" s="1" t="s">
        <v>263</v>
      </c>
      <c r="C219" s="2" t="s">
        <v>28</v>
      </c>
      <c r="D219" s="1" t="s">
        <v>29</v>
      </c>
      <c r="E219" s="1" t="s">
        <v>30</v>
      </c>
      <c r="F219" s="1">
        <v>14</v>
      </c>
      <c r="G219" s="3">
        <v>5.9</v>
      </c>
      <c r="H219" s="3">
        <v>4.13</v>
      </c>
      <c r="I219" s="3">
        <v>78.47</v>
      </c>
      <c r="J219" s="2" t="s">
        <v>31</v>
      </c>
      <c r="K219" s="2" t="s">
        <v>26</v>
      </c>
      <c r="L219" s="1" t="s">
        <v>46</v>
      </c>
      <c r="M219" s="1">
        <v>3</v>
      </c>
      <c r="N219" s="12">
        <v>2024</v>
      </c>
    </row>
    <row r="220" spans="1:14" x14ac:dyDescent="0.25">
      <c r="A220" s="11">
        <v>262</v>
      </c>
      <c r="B220" s="1" t="s">
        <v>264</v>
      </c>
      <c r="C220" s="2" t="s">
        <v>265</v>
      </c>
      <c r="D220" s="1" t="s">
        <v>16</v>
      </c>
      <c r="E220" s="1" t="s">
        <v>24</v>
      </c>
      <c r="F220" s="1">
        <v>2</v>
      </c>
      <c r="G220" s="3">
        <v>18.899999999999999</v>
      </c>
      <c r="H220" s="3">
        <v>3.78</v>
      </c>
      <c r="I220" s="3">
        <v>34.020000000000003</v>
      </c>
      <c r="J220" s="2" t="s">
        <v>31</v>
      </c>
      <c r="K220" s="2" t="s">
        <v>19</v>
      </c>
      <c r="L220" s="1" t="s">
        <v>71</v>
      </c>
      <c r="M220" s="1">
        <v>4</v>
      </c>
      <c r="N220" s="12">
        <v>2024</v>
      </c>
    </row>
    <row r="221" spans="1:14" x14ac:dyDescent="0.25">
      <c r="A221" s="11">
        <v>148</v>
      </c>
      <c r="B221" s="1" t="s">
        <v>266</v>
      </c>
      <c r="C221" s="2" t="s">
        <v>118</v>
      </c>
      <c r="D221" s="1" t="s">
        <v>16</v>
      </c>
      <c r="E221" s="1" t="s">
        <v>119</v>
      </c>
      <c r="F221" s="1">
        <v>23</v>
      </c>
      <c r="G221" s="3">
        <v>2.5</v>
      </c>
      <c r="H221" s="3">
        <v>0</v>
      </c>
      <c r="I221" s="3">
        <v>57.5</v>
      </c>
      <c r="J221" s="2" t="s">
        <v>50</v>
      </c>
      <c r="K221" s="2" t="s">
        <v>32</v>
      </c>
      <c r="L221" s="1" t="s">
        <v>51</v>
      </c>
      <c r="M221" s="1">
        <v>5</v>
      </c>
      <c r="N221" s="12">
        <v>2024</v>
      </c>
    </row>
    <row r="222" spans="1:14" x14ac:dyDescent="0.25">
      <c r="A222" s="11">
        <v>23</v>
      </c>
      <c r="B222" s="1" t="s">
        <v>267</v>
      </c>
      <c r="C222" s="2" t="s">
        <v>79</v>
      </c>
      <c r="D222" s="1" t="s">
        <v>29</v>
      </c>
      <c r="E222" s="1" t="s">
        <v>80</v>
      </c>
      <c r="F222" s="1">
        <v>8</v>
      </c>
      <c r="G222" s="3">
        <v>7.9</v>
      </c>
      <c r="H222" s="3">
        <v>0</v>
      </c>
      <c r="I222" s="3">
        <v>63.2</v>
      </c>
      <c r="J222" s="2" t="s">
        <v>50</v>
      </c>
      <c r="K222" s="2" t="s">
        <v>19</v>
      </c>
      <c r="L222" s="1" t="s">
        <v>89</v>
      </c>
      <c r="M222" s="1">
        <v>7</v>
      </c>
      <c r="N222" s="12">
        <v>2024</v>
      </c>
    </row>
    <row r="223" spans="1:14" ht="25.5" x14ac:dyDescent="0.25">
      <c r="A223" s="11">
        <v>114</v>
      </c>
      <c r="B223" s="1" t="s">
        <v>268</v>
      </c>
      <c r="C223" s="2" t="s">
        <v>70</v>
      </c>
      <c r="D223" s="1" t="s">
        <v>56</v>
      </c>
      <c r="E223" s="1" t="s">
        <v>57</v>
      </c>
      <c r="F223" s="1">
        <v>21</v>
      </c>
      <c r="G223" s="3">
        <v>32.9</v>
      </c>
      <c r="H223" s="3">
        <v>0</v>
      </c>
      <c r="I223" s="3">
        <v>690.9</v>
      </c>
      <c r="J223" s="2" t="s">
        <v>31</v>
      </c>
      <c r="K223" s="2" t="s">
        <v>19</v>
      </c>
      <c r="L223" s="1" t="s">
        <v>105</v>
      </c>
      <c r="M223" s="1">
        <v>9</v>
      </c>
      <c r="N223" s="12">
        <v>2024</v>
      </c>
    </row>
    <row r="224" spans="1:14" ht="25.5" x14ac:dyDescent="0.25">
      <c r="A224" s="11">
        <v>57</v>
      </c>
      <c r="B224" s="1" t="s">
        <v>269</v>
      </c>
      <c r="C224" s="2" t="s">
        <v>103</v>
      </c>
      <c r="D224" s="1" t="s">
        <v>35</v>
      </c>
      <c r="E224" s="1" t="s">
        <v>95</v>
      </c>
      <c r="F224" s="1">
        <v>18</v>
      </c>
      <c r="G224" s="3">
        <v>54.9</v>
      </c>
      <c r="H224" s="3">
        <v>0</v>
      </c>
      <c r="I224" s="3">
        <v>988.2</v>
      </c>
      <c r="J224" s="2" t="s">
        <v>40</v>
      </c>
      <c r="K224" s="2" t="s">
        <v>19</v>
      </c>
      <c r="L224" s="1" t="s">
        <v>27</v>
      </c>
      <c r="M224" s="1">
        <v>10</v>
      </c>
      <c r="N224" s="12">
        <v>2024</v>
      </c>
    </row>
    <row r="225" spans="1:14" ht="25.5" x14ac:dyDescent="0.25">
      <c r="A225" s="11">
        <v>233</v>
      </c>
      <c r="B225" s="1" t="s">
        <v>269</v>
      </c>
      <c r="C225" s="2" t="s">
        <v>79</v>
      </c>
      <c r="D225" s="1" t="s">
        <v>29</v>
      </c>
      <c r="E225" s="1" t="s">
        <v>80</v>
      </c>
      <c r="F225" s="6"/>
      <c r="G225" s="3">
        <v>7.9</v>
      </c>
      <c r="H225" s="3">
        <v>0</v>
      </c>
      <c r="I225" s="3">
        <v>189.6</v>
      </c>
      <c r="J225" s="2" t="s">
        <v>25</v>
      </c>
      <c r="K225" s="2" t="s">
        <v>19</v>
      </c>
      <c r="L225" s="1" t="s">
        <v>27</v>
      </c>
      <c r="M225" s="1">
        <v>10</v>
      </c>
      <c r="N225" s="12">
        <v>2024</v>
      </c>
    </row>
    <row r="226" spans="1:14" ht="25.5" x14ac:dyDescent="0.25">
      <c r="A226" s="11">
        <v>1</v>
      </c>
      <c r="B226" s="1" t="s">
        <v>270</v>
      </c>
      <c r="C226" s="2" t="s">
        <v>22</v>
      </c>
      <c r="D226" s="1" t="s">
        <v>23</v>
      </c>
      <c r="E226" s="1" t="s">
        <v>24</v>
      </c>
      <c r="F226" s="1">
        <v>1</v>
      </c>
      <c r="G226" s="3">
        <v>2.9</v>
      </c>
      <c r="H226" s="3">
        <v>0</v>
      </c>
      <c r="I226" s="3">
        <v>2.9</v>
      </c>
      <c r="J226" s="2" t="s">
        <v>45</v>
      </c>
      <c r="K226" s="2" t="s">
        <v>32</v>
      </c>
      <c r="L226" s="1" t="s">
        <v>65</v>
      </c>
      <c r="M226" s="1">
        <v>11</v>
      </c>
      <c r="N226" s="12">
        <v>2024</v>
      </c>
    </row>
    <row r="227" spans="1:14" ht="25.5" x14ac:dyDescent="0.25">
      <c r="A227" s="11">
        <v>224</v>
      </c>
      <c r="B227" s="1" t="s">
        <v>270</v>
      </c>
      <c r="C227" s="2" t="s">
        <v>108</v>
      </c>
      <c r="D227" s="1" t="s">
        <v>68</v>
      </c>
      <c r="E227" s="1" t="s">
        <v>49</v>
      </c>
      <c r="F227" s="1">
        <v>23</v>
      </c>
      <c r="G227" s="3">
        <v>24.9</v>
      </c>
      <c r="H227" s="3">
        <v>0</v>
      </c>
      <c r="I227" s="3">
        <v>572.70000000000005</v>
      </c>
      <c r="J227" s="2" t="s">
        <v>18</v>
      </c>
      <c r="K227" s="2" t="s">
        <v>19</v>
      </c>
      <c r="L227" s="1" t="s">
        <v>65</v>
      </c>
      <c r="M227" s="1">
        <v>11</v>
      </c>
      <c r="N227" s="12">
        <v>2024</v>
      </c>
    </row>
    <row r="228" spans="1:14" ht="25.5" x14ac:dyDescent="0.25">
      <c r="A228" s="11">
        <v>71</v>
      </c>
      <c r="B228" s="1" t="s">
        <v>271</v>
      </c>
      <c r="C228" s="2" t="s">
        <v>103</v>
      </c>
      <c r="D228" s="1" t="s">
        <v>35</v>
      </c>
      <c r="E228" s="1" t="s">
        <v>95</v>
      </c>
      <c r="F228" s="1">
        <v>18</v>
      </c>
      <c r="G228" s="3">
        <v>54.9</v>
      </c>
      <c r="H228" s="3">
        <v>0</v>
      </c>
      <c r="I228" s="3">
        <v>988.2</v>
      </c>
      <c r="J228" s="2" t="s">
        <v>31</v>
      </c>
      <c r="K228" s="2" t="s">
        <v>19</v>
      </c>
      <c r="L228" s="1" t="s">
        <v>41</v>
      </c>
      <c r="M228" s="1">
        <v>2</v>
      </c>
      <c r="N228" s="12">
        <v>2024</v>
      </c>
    </row>
    <row r="229" spans="1:14" x14ac:dyDescent="0.25">
      <c r="A229" s="11">
        <v>174</v>
      </c>
      <c r="B229" s="1" t="s">
        <v>272</v>
      </c>
      <c r="C229" s="2" t="s">
        <v>34</v>
      </c>
      <c r="D229" s="1" t="s">
        <v>35</v>
      </c>
      <c r="E229" s="1" t="s">
        <v>36</v>
      </c>
      <c r="F229" s="1">
        <v>28</v>
      </c>
      <c r="G229" s="3">
        <v>14.9</v>
      </c>
      <c r="H229" s="3">
        <v>20.86</v>
      </c>
      <c r="I229" s="3">
        <v>396.34</v>
      </c>
      <c r="J229" s="2" t="s">
        <v>25</v>
      </c>
      <c r="K229" s="2" t="s">
        <v>26</v>
      </c>
      <c r="L229" s="1" t="s">
        <v>51</v>
      </c>
      <c r="M229" s="1">
        <v>5</v>
      </c>
      <c r="N229" s="12">
        <v>2024</v>
      </c>
    </row>
    <row r="230" spans="1:14" x14ac:dyDescent="0.25">
      <c r="A230" s="11">
        <v>202</v>
      </c>
      <c r="B230" s="1" t="s">
        <v>272</v>
      </c>
      <c r="C230" s="2" t="s">
        <v>159</v>
      </c>
      <c r="D230" s="1" t="s">
        <v>35</v>
      </c>
      <c r="E230" s="1" t="s">
        <v>137</v>
      </c>
      <c r="F230" s="1">
        <v>10</v>
      </c>
      <c r="G230" s="3">
        <v>5.9</v>
      </c>
      <c r="H230" s="3">
        <v>5.9</v>
      </c>
      <c r="I230" s="3">
        <v>53.1</v>
      </c>
      <c r="J230" s="2" t="s">
        <v>50</v>
      </c>
      <c r="K230" s="2" t="s">
        <v>26</v>
      </c>
      <c r="L230" s="1" t="s">
        <v>51</v>
      </c>
      <c r="M230" s="1">
        <v>5</v>
      </c>
      <c r="N230" s="12">
        <v>2024</v>
      </c>
    </row>
    <row r="231" spans="1:14" x14ac:dyDescent="0.25">
      <c r="A231" s="11">
        <v>188</v>
      </c>
      <c r="B231" s="1" t="s">
        <v>273</v>
      </c>
      <c r="C231" s="2" t="s">
        <v>94</v>
      </c>
      <c r="D231" s="1" t="s">
        <v>35</v>
      </c>
      <c r="E231" s="1" t="s">
        <v>95</v>
      </c>
      <c r="F231" s="1">
        <v>18</v>
      </c>
      <c r="G231" s="3">
        <v>19.899999999999999</v>
      </c>
      <c r="H231" s="3">
        <v>0</v>
      </c>
      <c r="I231" s="3">
        <v>358.2</v>
      </c>
      <c r="J231" s="2" t="s">
        <v>18</v>
      </c>
      <c r="K231" s="2" t="s">
        <v>32</v>
      </c>
      <c r="L231" s="1" t="s">
        <v>89</v>
      </c>
      <c r="M231" s="1">
        <v>7</v>
      </c>
      <c r="N231" s="12">
        <v>2024</v>
      </c>
    </row>
    <row r="232" spans="1:14" x14ac:dyDescent="0.25">
      <c r="A232" s="11">
        <v>221</v>
      </c>
      <c r="B232" s="1" t="s">
        <v>274</v>
      </c>
      <c r="C232" s="2" t="s">
        <v>39</v>
      </c>
      <c r="D232" s="1" t="s">
        <v>16</v>
      </c>
      <c r="E232" s="1" t="s">
        <v>30</v>
      </c>
      <c r="F232" s="1">
        <v>9</v>
      </c>
      <c r="G232" s="3">
        <v>12.9</v>
      </c>
      <c r="H232" s="3">
        <v>5.8</v>
      </c>
      <c r="I232" s="3">
        <v>110.3</v>
      </c>
      <c r="J232" s="2" t="s">
        <v>31</v>
      </c>
      <c r="K232" s="2" t="s">
        <v>26</v>
      </c>
      <c r="L232" s="1" t="s">
        <v>58</v>
      </c>
      <c r="M232" s="1">
        <v>8</v>
      </c>
      <c r="N232" s="12">
        <v>2024</v>
      </c>
    </row>
    <row r="233" spans="1:14" ht="25.5" x14ac:dyDescent="0.25">
      <c r="A233" s="11">
        <v>89</v>
      </c>
      <c r="B233" s="1" t="s">
        <v>275</v>
      </c>
      <c r="C233" s="2" t="s">
        <v>60</v>
      </c>
      <c r="D233" s="1" t="s">
        <v>61</v>
      </c>
      <c r="E233" s="1" t="s">
        <v>62</v>
      </c>
      <c r="F233" s="1">
        <v>2</v>
      </c>
      <c r="G233" s="3">
        <v>12.9</v>
      </c>
      <c r="H233" s="3">
        <v>0</v>
      </c>
      <c r="I233" s="3">
        <v>25.8</v>
      </c>
      <c r="J233" s="2" t="s">
        <v>50</v>
      </c>
      <c r="K233" s="2" t="s">
        <v>19</v>
      </c>
      <c r="L233" s="1" t="s">
        <v>27</v>
      </c>
      <c r="M233" s="1">
        <v>10</v>
      </c>
      <c r="N233" s="12">
        <v>2024</v>
      </c>
    </row>
    <row r="234" spans="1:14" ht="25.5" x14ac:dyDescent="0.25">
      <c r="A234" s="11">
        <v>153</v>
      </c>
      <c r="B234" s="1" t="s">
        <v>275</v>
      </c>
      <c r="C234" s="2" t="s">
        <v>79</v>
      </c>
      <c r="D234" s="1" t="s">
        <v>29</v>
      </c>
      <c r="E234" s="1" t="s">
        <v>80</v>
      </c>
      <c r="F234" s="1">
        <v>16</v>
      </c>
      <c r="G234" s="3">
        <v>7.9</v>
      </c>
      <c r="H234" s="3">
        <v>12.64</v>
      </c>
      <c r="I234" s="3">
        <v>113.76</v>
      </c>
      <c r="J234" s="2" t="s">
        <v>50</v>
      </c>
      <c r="K234" s="2" t="s">
        <v>19</v>
      </c>
      <c r="L234" s="1" t="s">
        <v>27</v>
      </c>
      <c r="M234" s="1">
        <v>10</v>
      </c>
      <c r="N234" s="12">
        <v>2024</v>
      </c>
    </row>
    <row r="235" spans="1:14" ht="25.5" x14ac:dyDescent="0.25">
      <c r="A235" s="11">
        <v>49</v>
      </c>
      <c r="B235" s="1" t="s">
        <v>276</v>
      </c>
      <c r="C235" s="2" t="s">
        <v>207</v>
      </c>
      <c r="D235" s="1" t="s">
        <v>61</v>
      </c>
      <c r="E235" s="1" t="s">
        <v>57</v>
      </c>
      <c r="F235" s="1">
        <v>7</v>
      </c>
      <c r="G235" s="3">
        <v>32.9</v>
      </c>
      <c r="H235" s="3">
        <v>0</v>
      </c>
      <c r="I235" s="3">
        <v>230.3</v>
      </c>
      <c r="J235" s="2" t="s">
        <v>50</v>
      </c>
      <c r="K235" s="2" t="s">
        <v>19</v>
      </c>
      <c r="L235" s="1" t="s">
        <v>41</v>
      </c>
      <c r="M235" s="1">
        <v>2</v>
      </c>
      <c r="N235" s="12">
        <v>2024</v>
      </c>
    </row>
    <row r="236" spans="1:14" ht="25.5" x14ac:dyDescent="0.25">
      <c r="A236" s="11">
        <v>135</v>
      </c>
      <c r="B236" s="1" t="s">
        <v>276</v>
      </c>
      <c r="C236" s="2" t="s">
        <v>147</v>
      </c>
      <c r="D236" s="1" t="s">
        <v>74</v>
      </c>
      <c r="E236" s="1" t="s">
        <v>57</v>
      </c>
      <c r="F236" s="1">
        <v>1</v>
      </c>
      <c r="G236" s="3">
        <v>4.5</v>
      </c>
      <c r="H236" s="3">
        <v>0</v>
      </c>
      <c r="I236" s="3">
        <v>4.5</v>
      </c>
      <c r="J236" s="2" t="s">
        <v>50</v>
      </c>
      <c r="K236" s="2" t="s">
        <v>26</v>
      </c>
      <c r="L236" s="1" t="s">
        <v>41</v>
      </c>
      <c r="M236" s="1">
        <v>2</v>
      </c>
      <c r="N236" s="12">
        <v>2024</v>
      </c>
    </row>
    <row r="237" spans="1:14" x14ac:dyDescent="0.25">
      <c r="A237" s="11">
        <v>103</v>
      </c>
      <c r="B237" s="1" t="s">
        <v>277</v>
      </c>
      <c r="C237" s="2" t="s">
        <v>88</v>
      </c>
      <c r="D237" s="1" t="s">
        <v>56</v>
      </c>
      <c r="E237" s="1" t="s">
        <v>57</v>
      </c>
      <c r="F237" s="1">
        <v>22</v>
      </c>
      <c r="G237" s="3">
        <v>24.9</v>
      </c>
      <c r="H237" s="3">
        <v>54.78</v>
      </c>
      <c r="I237" s="3">
        <v>493.02</v>
      </c>
      <c r="J237" s="2" t="s">
        <v>31</v>
      </c>
      <c r="K237" s="2" t="s">
        <v>32</v>
      </c>
      <c r="L237" s="1" t="s">
        <v>51</v>
      </c>
      <c r="M237" s="1">
        <v>5</v>
      </c>
      <c r="N237" s="12">
        <v>2024</v>
      </c>
    </row>
    <row r="238" spans="1:14" x14ac:dyDescent="0.25">
      <c r="A238" s="11">
        <v>90</v>
      </c>
      <c r="B238" s="1" t="s">
        <v>278</v>
      </c>
      <c r="C238" s="2" t="s">
        <v>159</v>
      </c>
      <c r="D238" s="1" t="s">
        <v>35</v>
      </c>
      <c r="E238" s="1" t="s">
        <v>137</v>
      </c>
      <c r="F238" s="1">
        <v>26</v>
      </c>
      <c r="G238" s="3">
        <v>5.9</v>
      </c>
      <c r="H238" s="3">
        <v>0</v>
      </c>
      <c r="I238" s="3">
        <v>153.4</v>
      </c>
      <c r="J238" s="2" t="s">
        <v>18</v>
      </c>
      <c r="K238" s="2" t="s">
        <v>26</v>
      </c>
      <c r="L238" s="1" t="s">
        <v>53</v>
      </c>
      <c r="M238" s="1">
        <v>6</v>
      </c>
      <c r="N238" s="12">
        <v>2024</v>
      </c>
    </row>
    <row r="239" spans="1:14" x14ac:dyDescent="0.25">
      <c r="A239" s="11">
        <v>291</v>
      </c>
      <c r="B239" s="1" t="s">
        <v>278</v>
      </c>
      <c r="C239" s="2" t="s">
        <v>108</v>
      </c>
      <c r="D239" s="1" t="s">
        <v>68</v>
      </c>
      <c r="E239" s="1" t="s">
        <v>49</v>
      </c>
      <c r="F239" s="1">
        <v>4</v>
      </c>
      <c r="G239" s="3">
        <v>24.9</v>
      </c>
      <c r="H239" s="3">
        <v>0</v>
      </c>
      <c r="I239" s="3">
        <v>99.6</v>
      </c>
      <c r="J239" s="2" t="s">
        <v>40</v>
      </c>
      <c r="K239" s="2" t="s">
        <v>26</v>
      </c>
      <c r="L239" s="1" t="s">
        <v>53</v>
      </c>
      <c r="M239" s="1">
        <v>6</v>
      </c>
      <c r="N239" s="12">
        <v>2024</v>
      </c>
    </row>
    <row r="240" spans="1:14" ht="25.5" x14ac:dyDescent="0.25">
      <c r="A240" s="11">
        <v>263</v>
      </c>
      <c r="B240" s="1" t="s">
        <v>279</v>
      </c>
      <c r="C240" s="2" t="s">
        <v>175</v>
      </c>
      <c r="D240" s="1" t="s">
        <v>23</v>
      </c>
      <c r="E240" s="1" t="s">
        <v>24</v>
      </c>
      <c r="F240" s="1">
        <v>2</v>
      </c>
      <c r="G240" s="3">
        <v>8.5</v>
      </c>
      <c r="H240" s="3">
        <v>0.85</v>
      </c>
      <c r="I240" s="3">
        <v>16.149999999999999</v>
      </c>
      <c r="J240" s="2" t="s">
        <v>18</v>
      </c>
      <c r="K240" s="2" t="s">
        <v>19</v>
      </c>
      <c r="L240" s="1" t="s">
        <v>65</v>
      </c>
      <c r="M240" s="1">
        <v>11</v>
      </c>
      <c r="N240" s="12">
        <v>2024</v>
      </c>
    </row>
    <row r="241" spans="1:14" ht="25.5" x14ac:dyDescent="0.25">
      <c r="A241" s="11">
        <v>281</v>
      </c>
      <c r="B241" s="1" t="s">
        <v>279</v>
      </c>
      <c r="C241" s="2" t="s">
        <v>128</v>
      </c>
      <c r="D241" s="1" t="s">
        <v>74</v>
      </c>
      <c r="E241" s="1" t="s">
        <v>57</v>
      </c>
      <c r="F241" s="1">
        <v>1</v>
      </c>
      <c r="G241" s="3">
        <v>5.9</v>
      </c>
      <c r="H241" s="3">
        <v>0.59</v>
      </c>
      <c r="I241" s="3">
        <v>5.31</v>
      </c>
      <c r="J241" s="2" t="s">
        <v>40</v>
      </c>
      <c r="K241" s="2" t="s">
        <v>26</v>
      </c>
      <c r="L241" s="1" t="s">
        <v>65</v>
      </c>
      <c r="M241" s="1">
        <v>11</v>
      </c>
      <c r="N241" s="12">
        <v>2024</v>
      </c>
    </row>
    <row r="242" spans="1:14" ht="25.5" x14ac:dyDescent="0.25">
      <c r="A242" s="11">
        <v>84</v>
      </c>
      <c r="B242" s="1" t="s">
        <v>280</v>
      </c>
      <c r="C242" s="2" t="s">
        <v>217</v>
      </c>
      <c r="D242" s="1" t="s">
        <v>23</v>
      </c>
      <c r="E242" s="1" t="s">
        <v>24</v>
      </c>
      <c r="F242" s="1">
        <v>13</v>
      </c>
      <c r="G242" s="3">
        <v>4.5</v>
      </c>
      <c r="H242" s="3">
        <v>0</v>
      </c>
      <c r="I242" s="3">
        <v>58.5</v>
      </c>
      <c r="J242" s="2" t="s">
        <v>18</v>
      </c>
      <c r="K242" s="2" t="s">
        <v>32</v>
      </c>
      <c r="L242" s="1" t="s">
        <v>37</v>
      </c>
      <c r="M242" s="1">
        <v>12</v>
      </c>
      <c r="N242" s="12">
        <v>2024</v>
      </c>
    </row>
    <row r="243" spans="1:14" x14ac:dyDescent="0.25">
      <c r="A243" s="11">
        <v>53</v>
      </c>
      <c r="B243" s="1" t="s">
        <v>281</v>
      </c>
      <c r="C243" s="2" t="s">
        <v>134</v>
      </c>
      <c r="D243" s="1" t="s">
        <v>68</v>
      </c>
      <c r="E243" s="1" t="s">
        <v>17</v>
      </c>
      <c r="F243" s="1">
        <v>16</v>
      </c>
      <c r="G243" s="3">
        <v>0.75</v>
      </c>
      <c r="H243" s="3">
        <v>0.6</v>
      </c>
      <c r="I243" s="3">
        <v>11.4</v>
      </c>
      <c r="J243" s="2" t="s">
        <v>45</v>
      </c>
      <c r="K243" s="2" t="s">
        <v>19</v>
      </c>
      <c r="L243" s="1" t="s">
        <v>46</v>
      </c>
      <c r="M243" s="1">
        <v>3</v>
      </c>
      <c r="N243" s="12">
        <v>2024</v>
      </c>
    </row>
    <row r="244" spans="1:14" x14ac:dyDescent="0.25">
      <c r="A244" s="11">
        <v>270</v>
      </c>
      <c r="B244" s="1" t="s">
        <v>282</v>
      </c>
      <c r="C244" s="2" t="s">
        <v>134</v>
      </c>
      <c r="D244" s="1" t="s">
        <v>68</v>
      </c>
      <c r="E244" s="1" t="s">
        <v>17</v>
      </c>
      <c r="F244" s="1">
        <v>11</v>
      </c>
      <c r="G244" s="3">
        <v>0.75</v>
      </c>
      <c r="H244" s="3">
        <v>0.41</v>
      </c>
      <c r="I244" s="3">
        <v>7.84</v>
      </c>
      <c r="J244" s="2" t="s">
        <v>18</v>
      </c>
      <c r="K244" s="2" t="s">
        <v>19</v>
      </c>
      <c r="L244" s="1" t="s">
        <v>71</v>
      </c>
      <c r="M244" s="1">
        <v>4</v>
      </c>
      <c r="N244" s="12">
        <v>2024</v>
      </c>
    </row>
    <row r="245" spans="1:14" x14ac:dyDescent="0.25">
      <c r="A245" s="11">
        <v>139</v>
      </c>
      <c r="B245" s="1" t="s">
        <v>283</v>
      </c>
      <c r="C245" s="2" t="s">
        <v>122</v>
      </c>
      <c r="D245" s="1" t="s">
        <v>74</v>
      </c>
      <c r="E245" s="1" t="s">
        <v>57</v>
      </c>
      <c r="F245" s="1">
        <v>14</v>
      </c>
      <c r="G245" s="3">
        <v>7.9</v>
      </c>
      <c r="H245" s="3">
        <v>0</v>
      </c>
      <c r="I245" s="3">
        <v>110.6</v>
      </c>
      <c r="J245" s="2" t="s">
        <v>25</v>
      </c>
      <c r="K245" s="2" t="s">
        <v>26</v>
      </c>
      <c r="L245" s="1" t="s">
        <v>53</v>
      </c>
      <c r="M245" s="1">
        <v>6</v>
      </c>
      <c r="N245" s="12">
        <v>2024</v>
      </c>
    </row>
    <row r="246" spans="1:14" x14ac:dyDescent="0.25">
      <c r="A246" s="11">
        <v>300</v>
      </c>
      <c r="B246" s="1" t="s">
        <v>284</v>
      </c>
      <c r="C246" s="2" t="s">
        <v>175</v>
      </c>
      <c r="D246" s="1" t="s">
        <v>23</v>
      </c>
      <c r="E246" s="1" t="s">
        <v>24</v>
      </c>
      <c r="F246" s="1">
        <v>11</v>
      </c>
      <c r="G246" s="3">
        <v>8.5</v>
      </c>
      <c r="H246" s="3">
        <v>0</v>
      </c>
      <c r="I246" s="3">
        <v>93.5</v>
      </c>
      <c r="J246" s="2" t="s">
        <v>50</v>
      </c>
      <c r="K246" s="2" t="s">
        <v>19</v>
      </c>
      <c r="L246" s="1" t="s">
        <v>89</v>
      </c>
      <c r="M246" s="1">
        <v>7</v>
      </c>
      <c r="N246" s="12">
        <v>2024</v>
      </c>
    </row>
    <row r="247" spans="1:14" x14ac:dyDescent="0.25">
      <c r="A247" s="11">
        <v>133</v>
      </c>
      <c r="B247" s="1" t="s">
        <v>285</v>
      </c>
      <c r="C247" s="2" t="s">
        <v>34</v>
      </c>
      <c r="D247" s="1" t="s">
        <v>35</v>
      </c>
      <c r="E247" s="1" t="s">
        <v>36</v>
      </c>
      <c r="F247" s="1">
        <v>9</v>
      </c>
      <c r="G247" s="3">
        <v>14.9</v>
      </c>
      <c r="H247" s="3">
        <v>0</v>
      </c>
      <c r="I247" s="3">
        <v>134.1</v>
      </c>
      <c r="J247" s="2" t="s">
        <v>45</v>
      </c>
      <c r="K247" s="2" t="s">
        <v>26</v>
      </c>
      <c r="L247" s="1" t="s">
        <v>58</v>
      </c>
      <c r="M247" s="1">
        <v>8</v>
      </c>
      <c r="N247" s="12">
        <v>2024</v>
      </c>
    </row>
    <row r="248" spans="1:14" ht="25.5" x14ac:dyDescent="0.25">
      <c r="A248" s="11">
        <v>185</v>
      </c>
      <c r="B248" s="1" t="s">
        <v>286</v>
      </c>
      <c r="C248" s="2" t="s">
        <v>108</v>
      </c>
      <c r="D248" s="1" t="s">
        <v>68</v>
      </c>
      <c r="E248" s="1" t="s">
        <v>49</v>
      </c>
      <c r="F248" s="1">
        <v>21</v>
      </c>
      <c r="G248" s="3">
        <v>24.9</v>
      </c>
      <c r="H248" s="3">
        <v>26.15</v>
      </c>
      <c r="I248" s="3">
        <v>496.75</v>
      </c>
      <c r="J248" s="2" t="s">
        <v>25</v>
      </c>
      <c r="K248" s="2" t="s">
        <v>19</v>
      </c>
      <c r="L248" s="1" t="s">
        <v>27</v>
      </c>
      <c r="M248" s="1">
        <v>10</v>
      </c>
      <c r="N248" s="12">
        <v>2024</v>
      </c>
    </row>
    <row r="249" spans="1:14" ht="25.5" x14ac:dyDescent="0.25">
      <c r="A249" s="11">
        <v>48</v>
      </c>
      <c r="B249" s="1" t="s">
        <v>287</v>
      </c>
      <c r="C249" s="2" t="s">
        <v>217</v>
      </c>
      <c r="D249" s="1" t="s">
        <v>23</v>
      </c>
      <c r="E249" s="1" t="s">
        <v>24</v>
      </c>
      <c r="F249" s="1">
        <v>2</v>
      </c>
      <c r="G249" s="3">
        <v>4.5</v>
      </c>
      <c r="H249" s="3">
        <v>0.45</v>
      </c>
      <c r="I249" s="3">
        <v>8.5500000000000007</v>
      </c>
      <c r="J249" s="2" t="s">
        <v>40</v>
      </c>
      <c r="K249" s="2" t="s">
        <v>19</v>
      </c>
      <c r="L249" s="1" t="s">
        <v>65</v>
      </c>
      <c r="M249" s="1">
        <v>11</v>
      </c>
      <c r="N249" s="12">
        <v>2024</v>
      </c>
    </row>
    <row r="250" spans="1:14" ht="25.5" x14ac:dyDescent="0.25">
      <c r="A250" s="11">
        <v>151</v>
      </c>
      <c r="B250" s="1" t="s">
        <v>287</v>
      </c>
      <c r="C250" s="2" t="s">
        <v>136</v>
      </c>
      <c r="D250" s="1" t="s">
        <v>35</v>
      </c>
      <c r="E250" s="1" t="s">
        <v>137</v>
      </c>
      <c r="F250" s="1">
        <v>16</v>
      </c>
      <c r="G250" s="3">
        <v>4.9000000000000004</v>
      </c>
      <c r="H250" s="3">
        <v>3.92</v>
      </c>
      <c r="I250" s="3">
        <v>74.48</v>
      </c>
      <c r="J250" s="2" t="s">
        <v>25</v>
      </c>
      <c r="K250" s="2" t="s">
        <v>32</v>
      </c>
      <c r="L250" s="1" t="s">
        <v>65</v>
      </c>
      <c r="M250" s="1">
        <v>11</v>
      </c>
      <c r="N250" s="12">
        <v>2024</v>
      </c>
    </row>
    <row r="251" spans="1:14" ht="25.5" x14ac:dyDescent="0.25">
      <c r="A251" s="11">
        <v>12</v>
      </c>
      <c r="B251" s="1" t="s">
        <v>288</v>
      </c>
      <c r="C251" s="2" t="s">
        <v>184</v>
      </c>
      <c r="D251" s="1" t="s">
        <v>23</v>
      </c>
      <c r="E251" s="1" t="s">
        <v>185</v>
      </c>
      <c r="F251" s="1">
        <v>2</v>
      </c>
      <c r="G251" s="3">
        <v>4.9000000000000004</v>
      </c>
      <c r="H251" s="3">
        <v>0</v>
      </c>
      <c r="I251" s="3">
        <v>9.8000000000000007</v>
      </c>
      <c r="J251" s="2" t="s">
        <v>31</v>
      </c>
      <c r="K251" s="2" t="s">
        <v>32</v>
      </c>
      <c r="L251" s="1" t="s">
        <v>37</v>
      </c>
      <c r="M251" s="1">
        <v>12</v>
      </c>
      <c r="N251" s="12">
        <v>2024</v>
      </c>
    </row>
    <row r="252" spans="1:14" x14ac:dyDescent="0.25">
      <c r="A252" s="11">
        <v>130</v>
      </c>
      <c r="B252" s="1" t="s">
        <v>289</v>
      </c>
      <c r="C252" s="2" t="s">
        <v>144</v>
      </c>
      <c r="D252" s="1" t="s">
        <v>29</v>
      </c>
      <c r="E252" s="1" t="s">
        <v>145</v>
      </c>
      <c r="F252" s="1">
        <v>8</v>
      </c>
      <c r="G252" s="3">
        <v>3.9</v>
      </c>
      <c r="H252" s="3">
        <v>0</v>
      </c>
      <c r="I252" s="3">
        <v>31.2</v>
      </c>
      <c r="J252" s="2" t="s">
        <v>40</v>
      </c>
      <c r="K252" s="2" t="s">
        <v>32</v>
      </c>
      <c r="L252" s="1" t="s">
        <v>20</v>
      </c>
      <c r="M252" s="1">
        <v>1</v>
      </c>
      <c r="N252" s="12">
        <v>2024</v>
      </c>
    </row>
    <row r="253" spans="1:14" ht="25.5" x14ac:dyDescent="0.25">
      <c r="A253" s="11">
        <v>33</v>
      </c>
      <c r="B253" s="1" t="s">
        <v>290</v>
      </c>
      <c r="C253" s="2" t="s">
        <v>79</v>
      </c>
      <c r="D253" s="1" t="s">
        <v>29</v>
      </c>
      <c r="E253" s="1" t="s">
        <v>80</v>
      </c>
      <c r="F253" s="1">
        <v>29</v>
      </c>
      <c r="G253" s="3">
        <v>7.9</v>
      </c>
      <c r="H253" s="3">
        <v>0</v>
      </c>
      <c r="I253" s="3">
        <v>229.1</v>
      </c>
      <c r="J253" s="2" t="s">
        <v>45</v>
      </c>
      <c r="K253" s="2" t="s">
        <v>32</v>
      </c>
      <c r="L253" s="1" t="s">
        <v>41</v>
      </c>
      <c r="M253" s="1">
        <v>2</v>
      </c>
      <c r="N253" s="12">
        <v>2024</v>
      </c>
    </row>
    <row r="254" spans="1:14" ht="25.5" x14ac:dyDescent="0.25">
      <c r="A254" s="11">
        <v>77</v>
      </c>
      <c r="B254" s="1" t="s">
        <v>290</v>
      </c>
      <c r="C254" s="2" t="s">
        <v>184</v>
      </c>
      <c r="D254" s="1" t="s">
        <v>23</v>
      </c>
      <c r="E254" s="1" t="s">
        <v>185</v>
      </c>
      <c r="F254" s="1">
        <v>29</v>
      </c>
      <c r="G254" s="3">
        <v>4.9000000000000004</v>
      </c>
      <c r="H254" s="3">
        <v>0</v>
      </c>
      <c r="I254" s="3">
        <v>142.1</v>
      </c>
      <c r="J254" s="2" t="s">
        <v>50</v>
      </c>
      <c r="K254" s="2" t="s">
        <v>32</v>
      </c>
      <c r="L254" s="1" t="s">
        <v>41</v>
      </c>
      <c r="M254" s="1">
        <v>2</v>
      </c>
      <c r="N254" s="12">
        <v>2024</v>
      </c>
    </row>
    <row r="255" spans="1:14" x14ac:dyDescent="0.25">
      <c r="A255" s="11">
        <v>67</v>
      </c>
      <c r="B255" s="1" t="s">
        <v>291</v>
      </c>
      <c r="C255" s="2" t="s">
        <v>184</v>
      </c>
      <c r="D255" s="1" t="s">
        <v>23</v>
      </c>
      <c r="E255" s="1" t="s">
        <v>185</v>
      </c>
      <c r="F255" s="1">
        <v>29</v>
      </c>
      <c r="G255" s="3">
        <v>4.9000000000000004</v>
      </c>
      <c r="H255" s="3">
        <v>0</v>
      </c>
      <c r="I255" s="3">
        <v>142.1</v>
      </c>
      <c r="J255" s="2" t="s">
        <v>31</v>
      </c>
      <c r="K255" s="2" t="s">
        <v>19</v>
      </c>
      <c r="L255" s="1" t="s">
        <v>53</v>
      </c>
      <c r="M255" s="1">
        <v>6</v>
      </c>
      <c r="N255" s="12">
        <v>2024</v>
      </c>
    </row>
    <row r="256" spans="1:14" x14ac:dyDescent="0.25">
      <c r="A256" s="11">
        <v>186</v>
      </c>
      <c r="B256" s="1" t="s">
        <v>291</v>
      </c>
      <c r="C256" s="2" t="s">
        <v>134</v>
      </c>
      <c r="D256" s="1" t="s">
        <v>68</v>
      </c>
      <c r="E256" s="1" t="s">
        <v>17</v>
      </c>
      <c r="F256" s="1">
        <v>11</v>
      </c>
      <c r="G256" s="3">
        <v>0.75</v>
      </c>
      <c r="H256" s="3">
        <v>0</v>
      </c>
      <c r="I256" s="3">
        <v>8.25</v>
      </c>
      <c r="J256" s="2" t="s">
        <v>40</v>
      </c>
      <c r="K256" s="2" t="s">
        <v>32</v>
      </c>
      <c r="L256" s="1" t="s">
        <v>53</v>
      </c>
      <c r="M256" s="1">
        <v>6</v>
      </c>
      <c r="N256" s="12">
        <v>2024</v>
      </c>
    </row>
    <row r="257" spans="1:14" x14ac:dyDescent="0.25">
      <c r="A257" s="11">
        <v>81</v>
      </c>
      <c r="B257" s="1" t="s">
        <v>292</v>
      </c>
      <c r="C257" s="2" t="s">
        <v>265</v>
      </c>
      <c r="D257" s="1" t="s">
        <v>16</v>
      </c>
      <c r="E257" s="1" t="s">
        <v>24</v>
      </c>
      <c r="F257" s="1">
        <v>24</v>
      </c>
      <c r="G257" s="3">
        <v>18.899999999999999</v>
      </c>
      <c r="H257" s="3">
        <v>0</v>
      </c>
      <c r="I257" s="3">
        <v>453.6</v>
      </c>
      <c r="J257" s="2" t="s">
        <v>45</v>
      </c>
      <c r="K257" s="2" t="s">
        <v>32</v>
      </c>
      <c r="L257" s="1" t="s">
        <v>89</v>
      </c>
      <c r="M257" s="1">
        <v>7</v>
      </c>
      <c r="N257" s="12">
        <v>2024</v>
      </c>
    </row>
    <row r="258" spans="1:14" x14ac:dyDescent="0.25">
      <c r="A258" s="11">
        <v>118</v>
      </c>
      <c r="B258" s="1" t="s">
        <v>292</v>
      </c>
      <c r="C258" s="2" t="s">
        <v>28</v>
      </c>
      <c r="D258" s="1" t="s">
        <v>29</v>
      </c>
      <c r="E258" s="1" t="s">
        <v>30</v>
      </c>
      <c r="F258" s="1">
        <v>18</v>
      </c>
      <c r="G258" s="3">
        <v>5.9</v>
      </c>
      <c r="H258" s="3">
        <v>5.31</v>
      </c>
      <c r="I258" s="3">
        <v>100.89</v>
      </c>
      <c r="J258" s="2" t="s">
        <v>18</v>
      </c>
      <c r="K258" s="2" t="s">
        <v>32</v>
      </c>
      <c r="L258" s="1" t="s">
        <v>89</v>
      </c>
      <c r="M258" s="1">
        <v>7</v>
      </c>
      <c r="N258" s="12">
        <v>2024</v>
      </c>
    </row>
    <row r="259" spans="1:14" x14ac:dyDescent="0.25">
      <c r="A259" s="11">
        <v>249</v>
      </c>
      <c r="B259" s="1" t="s">
        <v>292</v>
      </c>
      <c r="C259" s="2" t="s">
        <v>96</v>
      </c>
      <c r="D259" s="1" t="s">
        <v>61</v>
      </c>
      <c r="E259" s="1" t="s">
        <v>62</v>
      </c>
      <c r="F259" s="1">
        <v>2</v>
      </c>
      <c r="G259" s="3">
        <v>9.9</v>
      </c>
      <c r="H259" s="3">
        <v>0</v>
      </c>
      <c r="I259" s="3">
        <v>19.8</v>
      </c>
      <c r="J259" s="2" t="s">
        <v>45</v>
      </c>
      <c r="K259" s="2" t="s">
        <v>19</v>
      </c>
      <c r="L259" s="1" t="s">
        <v>89</v>
      </c>
      <c r="M259" s="1">
        <v>7</v>
      </c>
      <c r="N259" s="12">
        <v>2024</v>
      </c>
    </row>
    <row r="260" spans="1:14" x14ac:dyDescent="0.25">
      <c r="A260" s="11">
        <v>124</v>
      </c>
      <c r="B260" s="1" t="s">
        <v>293</v>
      </c>
      <c r="C260" s="2" t="s">
        <v>48</v>
      </c>
      <c r="D260" s="1" t="s">
        <v>23</v>
      </c>
      <c r="E260" s="1" t="s">
        <v>49</v>
      </c>
      <c r="F260" s="1">
        <v>20</v>
      </c>
      <c r="G260" s="3">
        <v>18.899999999999999</v>
      </c>
      <c r="H260" s="3">
        <v>37.799999999999997</v>
      </c>
      <c r="I260" s="3">
        <v>340.2</v>
      </c>
      <c r="J260" s="2" t="s">
        <v>25</v>
      </c>
      <c r="K260" s="2" t="s">
        <v>19</v>
      </c>
      <c r="L260" s="1" t="s">
        <v>58</v>
      </c>
      <c r="M260" s="1">
        <v>8</v>
      </c>
      <c r="N260" s="12">
        <v>2024</v>
      </c>
    </row>
    <row r="261" spans="1:14" ht="25.5" x14ac:dyDescent="0.25">
      <c r="A261" s="11">
        <v>140</v>
      </c>
      <c r="B261" s="1" t="s">
        <v>294</v>
      </c>
      <c r="C261" s="2" t="s">
        <v>28</v>
      </c>
      <c r="D261" s="1" t="s">
        <v>29</v>
      </c>
      <c r="E261" s="1" t="s">
        <v>30</v>
      </c>
      <c r="F261" s="1">
        <v>1</v>
      </c>
      <c r="G261" s="3">
        <v>5.9</v>
      </c>
      <c r="H261" s="3">
        <v>0.3</v>
      </c>
      <c r="I261" s="3">
        <v>5.6</v>
      </c>
      <c r="J261" s="2" t="s">
        <v>18</v>
      </c>
      <c r="K261" s="2" t="s">
        <v>32</v>
      </c>
      <c r="L261" s="1" t="s">
        <v>65</v>
      </c>
      <c r="M261" s="1">
        <v>11</v>
      </c>
      <c r="N261" s="12">
        <v>2024</v>
      </c>
    </row>
    <row r="262" spans="1:14" ht="25.5" x14ac:dyDescent="0.25">
      <c r="A262" s="11">
        <v>197</v>
      </c>
      <c r="B262" s="1" t="s">
        <v>294</v>
      </c>
      <c r="C262" s="2" t="s">
        <v>115</v>
      </c>
      <c r="D262" s="1" t="s">
        <v>23</v>
      </c>
      <c r="E262" s="1" t="s">
        <v>116</v>
      </c>
      <c r="F262" s="1">
        <v>16</v>
      </c>
      <c r="G262" s="3">
        <v>12.5</v>
      </c>
      <c r="H262" s="3">
        <v>0</v>
      </c>
      <c r="I262" s="3">
        <v>200</v>
      </c>
      <c r="J262" s="2" t="s">
        <v>50</v>
      </c>
      <c r="K262" s="2" t="s">
        <v>26</v>
      </c>
      <c r="L262" s="1" t="s">
        <v>65</v>
      </c>
      <c r="M262" s="1">
        <v>11</v>
      </c>
      <c r="N262" s="12">
        <v>2024</v>
      </c>
    </row>
    <row r="263" spans="1:14" ht="25.5" x14ac:dyDescent="0.25">
      <c r="A263" s="11">
        <v>207</v>
      </c>
      <c r="B263" s="1" t="s">
        <v>295</v>
      </c>
      <c r="C263" s="2" t="s">
        <v>150</v>
      </c>
      <c r="D263" s="1" t="s">
        <v>29</v>
      </c>
      <c r="E263" s="1" t="s">
        <v>151</v>
      </c>
      <c r="F263" s="1">
        <v>13</v>
      </c>
      <c r="G263" s="3">
        <v>11.9</v>
      </c>
      <c r="H263" s="3">
        <v>0</v>
      </c>
      <c r="I263" s="3">
        <v>154.69999999999999</v>
      </c>
      <c r="J263" s="4" t="s">
        <v>296</v>
      </c>
      <c r="K263" s="2" t="s">
        <v>32</v>
      </c>
      <c r="L263" s="1" t="s">
        <v>37</v>
      </c>
      <c r="M263" s="1">
        <v>12</v>
      </c>
      <c r="N263" s="12">
        <v>2024</v>
      </c>
    </row>
    <row r="264" spans="1:14" x14ac:dyDescent="0.25">
      <c r="A264" s="11">
        <v>161</v>
      </c>
      <c r="B264" s="1" t="s">
        <v>297</v>
      </c>
      <c r="C264" s="2" t="s">
        <v>128</v>
      </c>
      <c r="D264" s="1" t="s">
        <v>74</v>
      </c>
      <c r="E264" s="1" t="s">
        <v>57</v>
      </c>
      <c r="F264" s="1">
        <v>10</v>
      </c>
      <c r="G264" s="3">
        <v>5.9</v>
      </c>
      <c r="H264" s="3">
        <v>0</v>
      </c>
      <c r="I264" s="3">
        <v>59</v>
      </c>
      <c r="J264" s="2" t="s">
        <v>40</v>
      </c>
      <c r="K264" s="2" t="s">
        <v>19</v>
      </c>
      <c r="L264" s="1" t="s">
        <v>20</v>
      </c>
      <c r="M264" s="1">
        <v>1</v>
      </c>
      <c r="N264" s="12">
        <v>2024</v>
      </c>
    </row>
    <row r="265" spans="1:14" x14ac:dyDescent="0.25">
      <c r="A265" s="11">
        <v>191</v>
      </c>
      <c r="B265" s="1" t="s">
        <v>297</v>
      </c>
      <c r="C265" s="2" t="s">
        <v>132</v>
      </c>
      <c r="D265" s="1" t="s">
        <v>61</v>
      </c>
      <c r="E265" s="1" t="s">
        <v>30</v>
      </c>
      <c r="F265" s="1">
        <v>17</v>
      </c>
      <c r="G265" s="3">
        <v>4.2</v>
      </c>
      <c r="H265" s="3">
        <v>0</v>
      </c>
      <c r="I265" s="3">
        <v>71.400000000000006</v>
      </c>
      <c r="J265" s="2" t="s">
        <v>50</v>
      </c>
      <c r="K265" s="2" t="s">
        <v>19</v>
      </c>
      <c r="L265" s="1" t="s">
        <v>20</v>
      </c>
      <c r="M265" s="1">
        <v>1</v>
      </c>
      <c r="N265" s="12">
        <v>2024</v>
      </c>
    </row>
    <row r="266" spans="1:14" ht="25.5" x14ac:dyDescent="0.25">
      <c r="A266" s="11">
        <v>164</v>
      </c>
      <c r="B266" s="1" t="s">
        <v>298</v>
      </c>
      <c r="C266" s="2" t="s">
        <v>184</v>
      </c>
      <c r="D266" s="1" t="s">
        <v>23</v>
      </c>
      <c r="E266" s="1" t="s">
        <v>185</v>
      </c>
      <c r="F266" s="1">
        <v>13</v>
      </c>
      <c r="G266" s="3">
        <v>4.9000000000000004</v>
      </c>
      <c r="H266" s="3">
        <v>3.19</v>
      </c>
      <c r="I266" s="3">
        <v>60.51</v>
      </c>
      <c r="J266" s="2" t="s">
        <v>25</v>
      </c>
      <c r="K266" s="2" t="s">
        <v>26</v>
      </c>
      <c r="L266" s="1" t="s">
        <v>41</v>
      </c>
      <c r="M266" s="1">
        <v>2</v>
      </c>
      <c r="N266" s="12">
        <v>2024</v>
      </c>
    </row>
    <row r="267" spans="1:14" ht="25.5" x14ac:dyDescent="0.25">
      <c r="A267" s="11">
        <v>237</v>
      </c>
      <c r="B267" s="1" t="s">
        <v>298</v>
      </c>
      <c r="C267" s="2" t="s">
        <v>55</v>
      </c>
      <c r="D267" s="1" t="s">
        <v>56</v>
      </c>
      <c r="E267" s="1" t="s">
        <v>57</v>
      </c>
      <c r="F267" s="1">
        <v>3</v>
      </c>
      <c r="G267" s="3">
        <v>22.9</v>
      </c>
      <c r="H267" s="3">
        <v>0</v>
      </c>
      <c r="I267" s="3">
        <v>68.7</v>
      </c>
      <c r="J267" s="2" t="s">
        <v>45</v>
      </c>
      <c r="K267" s="2" t="s">
        <v>26</v>
      </c>
      <c r="L267" s="1" t="s">
        <v>41</v>
      </c>
      <c r="M267" s="1">
        <v>2</v>
      </c>
      <c r="N267" s="12">
        <v>2024</v>
      </c>
    </row>
    <row r="268" spans="1:14" x14ac:dyDescent="0.25">
      <c r="A268" s="11">
        <v>16</v>
      </c>
      <c r="B268" s="1" t="s">
        <v>299</v>
      </c>
      <c r="C268" s="2" t="s">
        <v>122</v>
      </c>
      <c r="D268" s="1" t="s">
        <v>74</v>
      </c>
      <c r="E268" s="1" t="s">
        <v>57</v>
      </c>
      <c r="F268" s="1">
        <v>24</v>
      </c>
      <c r="G268" s="3">
        <v>7.9</v>
      </c>
      <c r="H268" s="3">
        <v>0</v>
      </c>
      <c r="I268" s="3">
        <v>189.6</v>
      </c>
      <c r="J268" s="2" t="s">
        <v>45</v>
      </c>
      <c r="K268" s="2" t="s">
        <v>19</v>
      </c>
      <c r="L268" s="1" t="s">
        <v>46</v>
      </c>
      <c r="M268" s="1">
        <v>3</v>
      </c>
      <c r="N268" s="12">
        <v>2024</v>
      </c>
    </row>
    <row r="269" spans="1:14" x14ac:dyDescent="0.25">
      <c r="A269" s="11">
        <v>219</v>
      </c>
      <c r="B269" s="1" t="s">
        <v>299</v>
      </c>
      <c r="C269" s="2" t="s">
        <v>166</v>
      </c>
      <c r="D269" s="1" t="s">
        <v>23</v>
      </c>
      <c r="E269" s="1" t="s">
        <v>101</v>
      </c>
      <c r="F269" s="1">
        <v>3</v>
      </c>
      <c r="G269" s="3">
        <v>4.2</v>
      </c>
      <c r="H269" s="3">
        <v>1.26</v>
      </c>
      <c r="I269" s="3">
        <v>11.34</v>
      </c>
      <c r="J269" s="2" t="s">
        <v>18</v>
      </c>
      <c r="K269" s="2" t="s">
        <v>26</v>
      </c>
      <c r="L269" s="1" t="s">
        <v>46</v>
      </c>
      <c r="M269" s="1">
        <v>3</v>
      </c>
      <c r="N269" s="12">
        <v>2024</v>
      </c>
    </row>
    <row r="270" spans="1:14" x14ac:dyDescent="0.25">
      <c r="A270" s="11">
        <v>173</v>
      </c>
      <c r="B270" s="1" t="s">
        <v>300</v>
      </c>
      <c r="C270" s="2" t="s">
        <v>154</v>
      </c>
      <c r="D270" s="1" t="s">
        <v>29</v>
      </c>
      <c r="E270" s="1" t="s">
        <v>127</v>
      </c>
      <c r="F270" s="1">
        <v>2</v>
      </c>
      <c r="G270" s="5">
        <v>-8.5</v>
      </c>
      <c r="H270" s="3">
        <v>0</v>
      </c>
      <c r="I270" s="5">
        <v>-17</v>
      </c>
      <c r="J270" s="2" t="s">
        <v>31</v>
      </c>
      <c r="K270" s="2" t="s">
        <v>26</v>
      </c>
      <c r="L270" s="1" t="s">
        <v>58</v>
      </c>
      <c r="M270" s="1">
        <v>8</v>
      </c>
      <c r="N270" s="12">
        <v>2024</v>
      </c>
    </row>
    <row r="271" spans="1:14" ht="25.5" x14ac:dyDescent="0.25">
      <c r="A271" s="11">
        <v>32</v>
      </c>
      <c r="B271" s="1" t="s">
        <v>301</v>
      </c>
      <c r="C271" s="2" t="s">
        <v>43</v>
      </c>
      <c r="D271" s="1" t="s">
        <v>23</v>
      </c>
      <c r="E271" s="1" t="s">
        <v>44</v>
      </c>
      <c r="F271" s="1">
        <v>20</v>
      </c>
      <c r="G271" s="3">
        <v>12.9</v>
      </c>
      <c r="H271" s="3">
        <v>0</v>
      </c>
      <c r="I271" s="3">
        <v>258</v>
      </c>
      <c r="J271" s="2" t="s">
        <v>18</v>
      </c>
      <c r="K271" s="2" t="s">
        <v>32</v>
      </c>
      <c r="L271" s="1" t="s">
        <v>105</v>
      </c>
      <c r="M271" s="1">
        <v>9</v>
      </c>
      <c r="N271" s="12">
        <v>2024</v>
      </c>
    </row>
    <row r="272" spans="1:14" ht="25.5" x14ac:dyDescent="0.25">
      <c r="A272" s="11">
        <v>111</v>
      </c>
      <c r="B272" s="1" t="s">
        <v>301</v>
      </c>
      <c r="C272" s="2" t="s">
        <v>128</v>
      </c>
      <c r="D272" s="1" t="s">
        <v>74</v>
      </c>
      <c r="E272" s="1" t="s">
        <v>57</v>
      </c>
      <c r="F272" s="1">
        <v>20</v>
      </c>
      <c r="G272" s="3">
        <v>5.9</v>
      </c>
      <c r="H272" s="3">
        <v>0</v>
      </c>
      <c r="I272" s="3">
        <v>118</v>
      </c>
      <c r="J272" s="2" t="s">
        <v>18</v>
      </c>
      <c r="K272" s="2" t="s">
        <v>26</v>
      </c>
      <c r="L272" s="1" t="s">
        <v>105</v>
      </c>
      <c r="M272" s="1">
        <v>9</v>
      </c>
      <c r="N272" s="12">
        <v>2024</v>
      </c>
    </row>
    <row r="273" spans="1:14" ht="25.5" x14ac:dyDescent="0.25">
      <c r="A273" s="11">
        <v>6</v>
      </c>
      <c r="B273" s="1" t="s">
        <v>302</v>
      </c>
      <c r="C273" s="2" t="s">
        <v>96</v>
      </c>
      <c r="D273" s="1" t="s">
        <v>61</v>
      </c>
      <c r="E273" s="1" t="s">
        <v>62</v>
      </c>
      <c r="F273" s="1">
        <v>26</v>
      </c>
      <c r="G273" s="3">
        <v>9.9</v>
      </c>
      <c r="H273" s="3">
        <v>0</v>
      </c>
      <c r="I273" s="3">
        <v>257.39999999999998</v>
      </c>
      <c r="J273" s="4" t="s">
        <v>107</v>
      </c>
      <c r="K273" s="2" t="s">
        <v>26</v>
      </c>
      <c r="L273" s="1" t="s">
        <v>27</v>
      </c>
      <c r="M273" s="1">
        <v>10</v>
      </c>
      <c r="N273" s="12">
        <v>2024</v>
      </c>
    </row>
    <row r="274" spans="1:14" ht="25.5" x14ac:dyDescent="0.25">
      <c r="A274" s="11">
        <v>158</v>
      </c>
      <c r="B274" s="1" t="s">
        <v>302</v>
      </c>
      <c r="C274" s="2" t="s">
        <v>94</v>
      </c>
      <c r="D274" s="1" t="s">
        <v>35</v>
      </c>
      <c r="E274" s="1" t="s">
        <v>95</v>
      </c>
      <c r="F274" s="1">
        <v>17</v>
      </c>
      <c r="G274" s="3">
        <v>19.899999999999999</v>
      </c>
      <c r="H274" s="3">
        <v>33.83</v>
      </c>
      <c r="I274" s="3">
        <v>304.47000000000003</v>
      </c>
      <c r="J274" s="2" t="s">
        <v>31</v>
      </c>
      <c r="K274" s="2" t="s">
        <v>32</v>
      </c>
      <c r="L274" s="1" t="s">
        <v>27</v>
      </c>
      <c r="M274" s="1">
        <v>10</v>
      </c>
      <c r="N274" s="12">
        <v>2024</v>
      </c>
    </row>
    <row r="275" spans="1:14" ht="25.5" x14ac:dyDescent="0.25">
      <c r="A275" s="11">
        <v>5</v>
      </c>
      <c r="B275" s="1" t="s">
        <v>303</v>
      </c>
      <c r="C275" s="2" t="s">
        <v>34</v>
      </c>
      <c r="D275" s="1" t="s">
        <v>35</v>
      </c>
      <c r="E275" s="1" t="s">
        <v>36</v>
      </c>
      <c r="F275" s="1">
        <v>18</v>
      </c>
      <c r="G275" s="3">
        <v>14.9</v>
      </c>
      <c r="H275" s="3">
        <v>13.41</v>
      </c>
      <c r="I275" s="3">
        <v>254.79</v>
      </c>
      <c r="J275" s="2" t="s">
        <v>45</v>
      </c>
      <c r="K275" s="2" t="s">
        <v>19</v>
      </c>
      <c r="L275" s="1" t="s">
        <v>65</v>
      </c>
      <c r="M275" s="1">
        <v>11</v>
      </c>
      <c r="N275" s="12">
        <v>2024</v>
      </c>
    </row>
    <row r="276" spans="1:14" ht="25.5" x14ac:dyDescent="0.25">
      <c r="A276" s="11">
        <v>244</v>
      </c>
      <c r="B276" s="1" t="s">
        <v>303</v>
      </c>
      <c r="C276" s="2" t="s">
        <v>134</v>
      </c>
      <c r="D276" s="1" t="s">
        <v>68</v>
      </c>
      <c r="E276" s="1" t="s">
        <v>17</v>
      </c>
      <c r="F276" s="1">
        <v>4</v>
      </c>
      <c r="G276" s="3">
        <v>0.75</v>
      </c>
      <c r="H276" s="3">
        <v>0</v>
      </c>
      <c r="I276" s="3">
        <v>3</v>
      </c>
      <c r="J276" s="2" t="s">
        <v>25</v>
      </c>
      <c r="K276" s="2" t="s">
        <v>32</v>
      </c>
      <c r="L276" s="1" t="s">
        <v>65</v>
      </c>
      <c r="M276" s="1">
        <v>11</v>
      </c>
      <c r="N276" s="12">
        <v>2024</v>
      </c>
    </row>
    <row r="277" spans="1:14" ht="25.5" x14ac:dyDescent="0.25">
      <c r="A277" s="11">
        <v>42</v>
      </c>
      <c r="B277" s="1" t="s">
        <v>304</v>
      </c>
      <c r="C277" s="2" t="s">
        <v>39</v>
      </c>
      <c r="D277" s="1" t="s">
        <v>16</v>
      </c>
      <c r="E277" s="1" t="s">
        <v>30</v>
      </c>
      <c r="F277" s="1">
        <v>2</v>
      </c>
      <c r="G277" s="3">
        <v>12.9</v>
      </c>
      <c r="H277" s="3">
        <v>0</v>
      </c>
      <c r="I277" s="3">
        <v>25.8</v>
      </c>
      <c r="J277" s="2" t="s">
        <v>25</v>
      </c>
      <c r="K277" s="2" t="s">
        <v>32</v>
      </c>
      <c r="L277" s="1" t="s">
        <v>37</v>
      </c>
      <c r="M277" s="1">
        <v>12</v>
      </c>
      <c r="N277" s="12">
        <v>2024</v>
      </c>
    </row>
    <row r="278" spans="1:14" x14ac:dyDescent="0.25">
      <c r="A278" s="11">
        <v>217</v>
      </c>
      <c r="B278" s="1" t="s">
        <v>305</v>
      </c>
      <c r="C278" s="2" t="s">
        <v>154</v>
      </c>
      <c r="D278" s="1" t="s">
        <v>29</v>
      </c>
      <c r="E278" s="1" t="s">
        <v>127</v>
      </c>
      <c r="F278" s="1">
        <v>12</v>
      </c>
      <c r="G278" s="3">
        <v>8.5</v>
      </c>
      <c r="H278" s="3">
        <v>0</v>
      </c>
      <c r="I278" s="3">
        <v>102</v>
      </c>
      <c r="J278" s="2" t="s">
        <v>18</v>
      </c>
      <c r="K278" s="2" t="s">
        <v>32</v>
      </c>
      <c r="L278" s="1" t="s">
        <v>20</v>
      </c>
      <c r="M278" s="1">
        <v>1</v>
      </c>
      <c r="N278" s="12">
        <v>2024</v>
      </c>
    </row>
    <row r="279" spans="1:14" x14ac:dyDescent="0.25">
      <c r="A279" s="11">
        <v>13</v>
      </c>
      <c r="B279" s="1" t="s">
        <v>306</v>
      </c>
      <c r="C279" s="2" t="s">
        <v>217</v>
      </c>
      <c r="D279" s="1" t="s">
        <v>23</v>
      </c>
      <c r="E279" s="1" t="s">
        <v>24</v>
      </c>
      <c r="F279" s="1">
        <v>13</v>
      </c>
      <c r="G279" s="3">
        <v>4.5</v>
      </c>
      <c r="H279" s="3">
        <v>0</v>
      </c>
      <c r="I279" s="3">
        <v>58.5</v>
      </c>
      <c r="J279" s="2" t="s">
        <v>18</v>
      </c>
      <c r="K279" s="2" t="s">
        <v>26</v>
      </c>
      <c r="L279" s="1" t="s">
        <v>71</v>
      </c>
      <c r="M279" s="1">
        <v>4</v>
      </c>
      <c r="N279" s="12">
        <v>2024</v>
      </c>
    </row>
    <row r="280" spans="1:14" x14ac:dyDescent="0.25">
      <c r="A280" s="11">
        <v>175</v>
      </c>
      <c r="B280" s="1" t="s">
        <v>306</v>
      </c>
      <c r="C280" s="2" t="s">
        <v>60</v>
      </c>
      <c r="D280" s="1" t="s">
        <v>61</v>
      </c>
      <c r="E280" s="1" t="s">
        <v>62</v>
      </c>
      <c r="F280" s="1">
        <v>26</v>
      </c>
      <c r="G280" s="3">
        <v>12.9</v>
      </c>
      <c r="H280" s="3">
        <v>33.54</v>
      </c>
      <c r="I280" s="3">
        <v>301.86</v>
      </c>
      <c r="J280" s="2" t="s">
        <v>40</v>
      </c>
      <c r="K280" s="2" t="s">
        <v>32</v>
      </c>
      <c r="L280" s="1" t="s">
        <v>71</v>
      </c>
      <c r="M280" s="1">
        <v>4</v>
      </c>
      <c r="N280" s="12">
        <v>2024</v>
      </c>
    </row>
    <row r="281" spans="1:14" x14ac:dyDescent="0.25">
      <c r="A281" s="11">
        <v>206</v>
      </c>
      <c r="B281" s="1" t="s">
        <v>306</v>
      </c>
      <c r="C281" s="2" t="s">
        <v>134</v>
      </c>
      <c r="D281" s="1" t="s">
        <v>68</v>
      </c>
      <c r="E281" s="1" t="s">
        <v>17</v>
      </c>
      <c r="F281" s="1">
        <v>2</v>
      </c>
      <c r="G281" s="3">
        <v>0.75</v>
      </c>
      <c r="H281" s="3">
        <v>0</v>
      </c>
      <c r="I281" s="3">
        <v>1.5</v>
      </c>
      <c r="J281" s="2" t="s">
        <v>40</v>
      </c>
      <c r="K281" s="2" t="s">
        <v>19</v>
      </c>
      <c r="L281" s="1" t="s">
        <v>71</v>
      </c>
      <c r="M281" s="1">
        <v>4</v>
      </c>
      <c r="N281" s="12">
        <v>2024</v>
      </c>
    </row>
    <row r="282" spans="1:14" x14ac:dyDescent="0.25">
      <c r="A282" s="11">
        <v>47</v>
      </c>
      <c r="B282" s="1" t="s">
        <v>307</v>
      </c>
      <c r="C282" s="2" t="s">
        <v>55</v>
      </c>
      <c r="D282" s="1" t="s">
        <v>56</v>
      </c>
      <c r="E282" s="1" t="s">
        <v>57</v>
      </c>
      <c r="F282" s="1">
        <v>28</v>
      </c>
      <c r="G282" s="3">
        <v>22.9</v>
      </c>
      <c r="H282" s="3">
        <v>0</v>
      </c>
      <c r="I282" s="3">
        <v>641.20000000000005</v>
      </c>
      <c r="J282" s="2" t="s">
        <v>40</v>
      </c>
      <c r="K282" s="2" t="s">
        <v>26</v>
      </c>
      <c r="L282" s="1" t="s">
        <v>89</v>
      </c>
      <c r="M282" s="1">
        <v>7</v>
      </c>
      <c r="N282" s="12">
        <v>2024</v>
      </c>
    </row>
    <row r="283" spans="1:14" x14ac:dyDescent="0.25">
      <c r="A283" s="11">
        <v>83</v>
      </c>
      <c r="B283" s="1" t="s">
        <v>307</v>
      </c>
      <c r="C283" s="2" t="s">
        <v>15</v>
      </c>
      <c r="D283" s="1" t="s">
        <v>16</v>
      </c>
      <c r="E283" s="1" t="s">
        <v>17</v>
      </c>
      <c r="F283" s="1">
        <v>28</v>
      </c>
      <c r="G283" s="3">
        <v>3.9</v>
      </c>
      <c r="H283" s="3">
        <v>0</v>
      </c>
      <c r="I283" s="3">
        <v>109.2</v>
      </c>
      <c r="J283" s="2" t="s">
        <v>31</v>
      </c>
      <c r="K283" s="2" t="s">
        <v>32</v>
      </c>
      <c r="L283" s="1" t="s">
        <v>89</v>
      </c>
      <c r="M283" s="1">
        <v>7</v>
      </c>
      <c r="N283" s="12">
        <v>2024</v>
      </c>
    </row>
    <row r="284" spans="1:14" ht="25.5" x14ac:dyDescent="0.25">
      <c r="A284" s="11">
        <v>52</v>
      </c>
      <c r="B284" s="1" t="s">
        <v>308</v>
      </c>
      <c r="C284" s="2" t="s">
        <v>122</v>
      </c>
      <c r="D284" s="1" t="s">
        <v>74</v>
      </c>
      <c r="E284" s="1" t="s">
        <v>57</v>
      </c>
      <c r="F284" s="1">
        <v>27</v>
      </c>
      <c r="G284" s="3">
        <v>7.9</v>
      </c>
      <c r="H284" s="3">
        <v>0</v>
      </c>
      <c r="I284" s="3">
        <v>213.3</v>
      </c>
      <c r="J284" s="2" t="s">
        <v>25</v>
      </c>
      <c r="K284" s="2" t="s">
        <v>32</v>
      </c>
      <c r="L284" s="1" t="s">
        <v>65</v>
      </c>
      <c r="M284" s="1">
        <v>11</v>
      </c>
      <c r="N284" s="12">
        <v>2024</v>
      </c>
    </row>
    <row r="285" spans="1:14" x14ac:dyDescent="0.25">
      <c r="A285" s="11">
        <v>58</v>
      </c>
      <c r="B285" s="1" t="s">
        <v>309</v>
      </c>
      <c r="C285" s="2" t="s">
        <v>204</v>
      </c>
      <c r="D285" s="1" t="s">
        <v>23</v>
      </c>
      <c r="E285" s="1" t="s">
        <v>49</v>
      </c>
      <c r="F285" s="1">
        <v>19</v>
      </c>
      <c r="G285" s="3">
        <v>3.5</v>
      </c>
      <c r="H285" s="3">
        <v>3.33</v>
      </c>
      <c r="I285" s="3">
        <v>63.17</v>
      </c>
      <c r="J285" s="2" t="s">
        <v>50</v>
      </c>
      <c r="K285" s="2" t="s">
        <v>26</v>
      </c>
      <c r="L285" s="1" t="s">
        <v>20</v>
      </c>
      <c r="M285" s="1">
        <v>1</v>
      </c>
      <c r="N285" s="12">
        <v>2024</v>
      </c>
    </row>
    <row r="286" spans="1:14" x14ac:dyDescent="0.25">
      <c r="A286" s="11">
        <v>184</v>
      </c>
      <c r="B286" s="1" t="s">
        <v>310</v>
      </c>
      <c r="C286" s="2" t="s">
        <v>172</v>
      </c>
      <c r="D286" s="1" t="s">
        <v>56</v>
      </c>
      <c r="E286" s="1" t="s">
        <v>57</v>
      </c>
      <c r="F286" s="1">
        <v>17</v>
      </c>
      <c r="G286" s="3">
        <v>89.9</v>
      </c>
      <c r="H286" s="3">
        <v>76.42</v>
      </c>
      <c r="I286" s="3">
        <v>1451.88</v>
      </c>
      <c r="J286" s="2" t="s">
        <v>31</v>
      </c>
      <c r="K286" s="2" t="s">
        <v>32</v>
      </c>
      <c r="L286" s="1" t="s">
        <v>46</v>
      </c>
      <c r="M286" s="1">
        <v>3</v>
      </c>
      <c r="N286" s="12">
        <v>2024</v>
      </c>
    </row>
    <row r="287" spans="1:14" x14ac:dyDescent="0.25">
      <c r="A287" s="11">
        <v>104</v>
      </c>
      <c r="B287" s="1" t="s">
        <v>311</v>
      </c>
      <c r="C287" s="2" t="s">
        <v>82</v>
      </c>
      <c r="D287" s="1" t="s">
        <v>35</v>
      </c>
      <c r="E287" s="1" t="s">
        <v>36</v>
      </c>
      <c r="F287" s="1">
        <v>10</v>
      </c>
      <c r="G287" s="3">
        <v>14.9</v>
      </c>
      <c r="H287" s="3">
        <v>0</v>
      </c>
      <c r="I287" s="3">
        <v>149</v>
      </c>
      <c r="J287" s="2" t="s">
        <v>45</v>
      </c>
      <c r="K287" s="2" t="s">
        <v>32</v>
      </c>
      <c r="L287" s="1" t="s">
        <v>71</v>
      </c>
      <c r="M287" s="1">
        <v>4</v>
      </c>
      <c r="N287" s="12">
        <v>2024</v>
      </c>
    </row>
    <row r="288" spans="1:14" x14ac:dyDescent="0.25">
      <c r="A288" s="11">
        <v>11</v>
      </c>
      <c r="B288" s="1" t="s">
        <v>312</v>
      </c>
      <c r="C288" s="2" t="s">
        <v>39</v>
      </c>
      <c r="D288" s="1" t="s">
        <v>16</v>
      </c>
      <c r="E288" s="1" t="s">
        <v>30</v>
      </c>
      <c r="F288" s="1">
        <v>20</v>
      </c>
      <c r="G288" s="3">
        <v>12.9</v>
      </c>
      <c r="H288" s="3">
        <v>0</v>
      </c>
      <c r="I288" s="3">
        <v>258</v>
      </c>
      <c r="J288" s="2" t="s">
        <v>50</v>
      </c>
      <c r="K288" s="2" t="s">
        <v>32</v>
      </c>
      <c r="L288" s="1" t="s">
        <v>51</v>
      </c>
      <c r="M288" s="1">
        <v>5</v>
      </c>
      <c r="N288" s="12">
        <v>2024</v>
      </c>
    </row>
    <row r="289" spans="1:14" x14ac:dyDescent="0.25">
      <c r="A289" s="11">
        <v>152</v>
      </c>
      <c r="B289" s="1" t="s">
        <v>312</v>
      </c>
      <c r="C289" s="2" t="s">
        <v>112</v>
      </c>
      <c r="D289" s="1" t="s">
        <v>61</v>
      </c>
      <c r="E289" s="1" t="s">
        <v>113</v>
      </c>
      <c r="F289" s="1">
        <v>13</v>
      </c>
      <c r="G289" s="3">
        <v>4.9000000000000004</v>
      </c>
      <c r="H289" s="3">
        <v>0</v>
      </c>
      <c r="I289" s="3">
        <v>63.7</v>
      </c>
      <c r="J289" s="2" t="s">
        <v>31</v>
      </c>
      <c r="K289" s="2" t="s">
        <v>26</v>
      </c>
      <c r="L289" s="1" t="s">
        <v>51</v>
      </c>
      <c r="M289" s="1">
        <v>5</v>
      </c>
      <c r="N289" s="12">
        <v>2024</v>
      </c>
    </row>
    <row r="290" spans="1:14" ht="25.5" x14ac:dyDescent="0.25">
      <c r="A290" s="11">
        <v>125</v>
      </c>
      <c r="B290" s="1" t="s">
        <v>313</v>
      </c>
      <c r="C290" s="2" t="s">
        <v>73</v>
      </c>
      <c r="D290" s="1" t="s">
        <v>74</v>
      </c>
      <c r="E290" s="1" t="s">
        <v>17</v>
      </c>
      <c r="F290" s="1">
        <v>22</v>
      </c>
      <c r="G290" s="3">
        <v>2.9</v>
      </c>
      <c r="H290" s="3">
        <v>0</v>
      </c>
      <c r="I290" s="3">
        <v>63.8</v>
      </c>
      <c r="J290" s="2" t="s">
        <v>25</v>
      </c>
      <c r="K290" s="2" t="s">
        <v>26</v>
      </c>
      <c r="L290" s="1" t="s">
        <v>27</v>
      </c>
      <c r="M290" s="1">
        <v>10</v>
      </c>
      <c r="N290" s="12">
        <v>2024</v>
      </c>
    </row>
    <row r="291" spans="1:14" ht="25.5" x14ac:dyDescent="0.25">
      <c r="A291" s="11">
        <v>144</v>
      </c>
      <c r="B291" s="1" t="s">
        <v>313</v>
      </c>
      <c r="C291" s="2" t="s">
        <v>96</v>
      </c>
      <c r="D291" s="1" t="s">
        <v>61</v>
      </c>
      <c r="E291" s="1" t="s">
        <v>62</v>
      </c>
      <c r="F291" s="1">
        <v>11</v>
      </c>
      <c r="G291" s="3">
        <v>9.9</v>
      </c>
      <c r="H291" s="3">
        <v>0</v>
      </c>
      <c r="I291" s="3">
        <v>108.9</v>
      </c>
      <c r="J291" s="2" t="s">
        <v>25</v>
      </c>
      <c r="K291" s="2" t="s">
        <v>19</v>
      </c>
      <c r="L291" s="1" t="s">
        <v>27</v>
      </c>
      <c r="M291" s="1">
        <v>10</v>
      </c>
      <c r="N291" s="12">
        <v>2024</v>
      </c>
    </row>
    <row r="292" spans="1:14" ht="25.5" x14ac:dyDescent="0.25">
      <c r="A292" s="11">
        <v>292</v>
      </c>
      <c r="B292" s="1" t="s">
        <v>313</v>
      </c>
      <c r="C292" s="2" t="s">
        <v>70</v>
      </c>
      <c r="D292" s="1" t="s">
        <v>56</v>
      </c>
      <c r="E292" s="1" t="s">
        <v>57</v>
      </c>
      <c r="F292" s="1">
        <v>17</v>
      </c>
      <c r="G292" s="3">
        <v>32.9</v>
      </c>
      <c r="H292" s="3">
        <v>0</v>
      </c>
      <c r="I292" s="3">
        <v>559.29999999999995</v>
      </c>
      <c r="J292" s="2" t="s">
        <v>25</v>
      </c>
      <c r="K292" s="2" t="s">
        <v>32</v>
      </c>
      <c r="L292" s="1" t="s">
        <v>27</v>
      </c>
      <c r="M292" s="1">
        <v>10</v>
      </c>
      <c r="N292" s="12">
        <v>2024</v>
      </c>
    </row>
    <row r="293" spans="1:14" x14ac:dyDescent="0.25">
      <c r="A293" s="11">
        <v>54</v>
      </c>
      <c r="B293" s="1" t="s">
        <v>314</v>
      </c>
      <c r="C293" s="2" t="s">
        <v>100</v>
      </c>
      <c r="D293" s="1" t="s">
        <v>23</v>
      </c>
      <c r="E293" s="1" t="s">
        <v>101</v>
      </c>
      <c r="F293" s="1">
        <v>13</v>
      </c>
      <c r="G293" s="3">
        <v>5.9</v>
      </c>
      <c r="H293" s="3">
        <v>0</v>
      </c>
      <c r="I293" s="3">
        <v>76.7</v>
      </c>
      <c r="J293" s="2" t="s">
        <v>18</v>
      </c>
      <c r="K293" s="2" t="s">
        <v>19</v>
      </c>
      <c r="L293" s="1" t="s">
        <v>20</v>
      </c>
      <c r="M293" s="1">
        <v>1</v>
      </c>
      <c r="N293" s="12">
        <v>2024</v>
      </c>
    </row>
    <row r="294" spans="1:14" x14ac:dyDescent="0.25">
      <c r="A294" s="11">
        <v>82</v>
      </c>
      <c r="B294" s="1" t="s">
        <v>315</v>
      </c>
      <c r="C294" s="2" t="s">
        <v>134</v>
      </c>
      <c r="D294" s="1" t="s">
        <v>68</v>
      </c>
      <c r="E294" s="1" t="s">
        <v>17</v>
      </c>
      <c r="F294" s="1">
        <v>1</v>
      </c>
      <c r="G294" s="3">
        <v>0.75</v>
      </c>
      <c r="H294" s="3">
        <v>0</v>
      </c>
      <c r="I294" s="3">
        <v>0.75</v>
      </c>
      <c r="J294" s="2" t="s">
        <v>40</v>
      </c>
      <c r="K294" s="2" t="s">
        <v>19</v>
      </c>
      <c r="L294" s="1" t="s">
        <v>46</v>
      </c>
      <c r="M294" s="1">
        <v>3</v>
      </c>
      <c r="N294" s="12">
        <v>2024</v>
      </c>
    </row>
    <row r="295" spans="1:14" x14ac:dyDescent="0.25">
      <c r="A295" s="11">
        <v>109</v>
      </c>
      <c r="B295" s="1" t="s">
        <v>315</v>
      </c>
      <c r="C295" s="2" t="s">
        <v>34</v>
      </c>
      <c r="D295" s="1" t="s">
        <v>35</v>
      </c>
      <c r="E295" s="1" t="s">
        <v>36</v>
      </c>
      <c r="F295" s="1">
        <v>17</v>
      </c>
      <c r="G295" s="3">
        <v>14.9</v>
      </c>
      <c r="H295" s="3">
        <v>12.67</v>
      </c>
      <c r="I295" s="3">
        <v>240.63</v>
      </c>
      <c r="J295" s="2" t="s">
        <v>25</v>
      </c>
      <c r="K295" s="2" t="s">
        <v>26</v>
      </c>
      <c r="L295" s="1" t="s">
        <v>46</v>
      </c>
      <c r="M295" s="1">
        <v>3</v>
      </c>
      <c r="N295" s="12">
        <v>2024</v>
      </c>
    </row>
    <row r="296" spans="1:14" x14ac:dyDescent="0.25">
      <c r="A296" s="11">
        <v>227</v>
      </c>
      <c r="B296" s="1" t="s">
        <v>316</v>
      </c>
      <c r="C296" s="2" t="s">
        <v>175</v>
      </c>
      <c r="D296" s="1" t="s">
        <v>23</v>
      </c>
      <c r="E296" s="1" t="s">
        <v>24</v>
      </c>
      <c r="F296" s="1">
        <v>27</v>
      </c>
      <c r="G296" s="3">
        <v>8.5</v>
      </c>
      <c r="H296" s="3">
        <v>11.48</v>
      </c>
      <c r="I296" s="3">
        <v>218.02</v>
      </c>
      <c r="J296" s="2" t="s">
        <v>31</v>
      </c>
      <c r="K296" s="2" t="s">
        <v>32</v>
      </c>
      <c r="L296" s="1" t="s">
        <v>51</v>
      </c>
      <c r="M296" s="1">
        <v>5</v>
      </c>
      <c r="N296" s="12">
        <v>2024</v>
      </c>
    </row>
    <row r="297" spans="1:14" x14ac:dyDescent="0.25">
      <c r="A297" s="11">
        <v>201</v>
      </c>
      <c r="B297" s="1" t="s">
        <v>317</v>
      </c>
      <c r="C297" s="2" t="s">
        <v>28</v>
      </c>
      <c r="D297" s="1" t="s">
        <v>29</v>
      </c>
      <c r="E297" s="1" t="s">
        <v>30</v>
      </c>
      <c r="F297" s="1">
        <v>30</v>
      </c>
      <c r="G297" s="3">
        <v>5.9</v>
      </c>
      <c r="H297" s="3">
        <v>17.7</v>
      </c>
      <c r="I297" s="3">
        <v>159.30000000000001</v>
      </c>
      <c r="J297" s="2" t="s">
        <v>31</v>
      </c>
      <c r="K297" s="2" t="s">
        <v>32</v>
      </c>
      <c r="L297" s="1" t="s">
        <v>89</v>
      </c>
      <c r="M297" s="1">
        <v>7</v>
      </c>
      <c r="N297" s="12">
        <v>2024</v>
      </c>
    </row>
    <row r="298" spans="1:14" x14ac:dyDescent="0.25">
      <c r="A298" s="11">
        <v>36</v>
      </c>
      <c r="B298" s="1" t="s">
        <v>318</v>
      </c>
      <c r="C298" s="2" t="s">
        <v>128</v>
      </c>
      <c r="D298" s="1" t="s">
        <v>74</v>
      </c>
      <c r="E298" s="1" t="s">
        <v>57</v>
      </c>
      <c r="F298" s="1">
        <v>6</v>
      </c>
      <c r="G298" s="3">
        <v>5.9</v>
      </c>
      <c r="H298" s="3">
        <v>0</v>
      </c>
      <c r="I298" s="3">
        <v>35.4</v>
      </c>
      <c r="J298" s="2" t="s">
        <v>50</v>
      </c>
      <c r="K298" s="2" t="s">
        <v>26</v>
      </c>
      <c r="L298" s="1" t="s">
        <v>58</v>
      </c>
      <c r="M298" s="1">
        <v>8</v>
      </c>
      <c r="N298" s="12">
        <v>2024</v>
      </c>
    </row>
    <row r="299" spans="1:14" x14ac:dyDescent="0.25">
      <c r="A299" s="11">
        <v>113</v>
      </c>
      <c r="B299" s="1" t="s">
        <v>318</v>
      </c>
      <c r="C299" s="2" t="s">
        <v>139</v>
      </c>
      <c r="D299" s="1" t="s">
        <v>68</v>
      </c>
      <c r="E299" s="1" t="s">
        <v>17</v>
      </c>
      <c r="F299" s="1">
        <v>9</v>
      </c>
      <c r="G299" s="3">
        <v>4.5</v>
      </c>
      <c r="H299" s="3">
        <v>0</v>
      </c>
      <c r="I299" s="3">
        <v>40.5</v>
      </c>
      <c r="J299" s="2" t="s">
        <v>40</v>
      </c>
      <c r="K299" s="2" t="s">
        <v>19</v>
      </c>
      <c r="L299" s="1" t="s">
        <v>58</v>
      </c>
      <c r="M299" s="1">
        <v>8</v>
      </c>
      <c r="N299" s="12">
        <v>2024</v>
      </c>
    </row>
    <row r="300" spans="1:14" ht="25.5" x14ac:dyDescent="0.25">
      <c r="A300" s="11">
        <v>60</v>
      </c>
      <c r="B300" s="1" t="s">
        <v>319</v>
      </c>
      <c r="C300" s="2" t="s">
        <v>184</v>
      </c>
      <c r="D300" s="1" t="s">
        <v>23</v>
      </c>
      <c r="E300" s="1" t="s">
        <v>185</v>
      </c>
      <c r="F300" s="1">
        <v>22</v>
      </c>
      <c r="G300" s="3">
        <v>4.9000000000000004</v>
      </c>
      <c r="H300" s="3">
        <v>0</v>
      </c>
      <c r="I300" s="3">
        <v>107.8</v>
      </c>
      <c r="J300" s="2" t="s">
        <v>18</v>
      </c>
      <c r="K300" s="2" t="s">
        <v>32</v>
      </c>
      <c r="L300" s="1" t="s">
        <v>27</v>
      </c>
      <c r="M300" s="1">
        <v>10</v>
      </c>
      <c r="N300" s="12">
        <v>2024</v>
      </c>
    </row>
    <row r="301" spans="1:14" ht="25.5" x14ac:dyDescent="0.25">
      <c r="A301" s="16">
        <v>178</v>
      </c>
      <c r="B301" s="17" t="s">
        <v>319</v>
      </c>
      <c r="C301" s="18" t="s">
        <v>103</v>
      </c>
      <c r="D301" s="17" t="s">
        <v>35</v>
      </c>
      <c r="E301" s="17" t="s">
        <v>95</v>
      </c>
      <c r="F301" s="17">
        <v>27</v>
      </c>
      <c r="G301" s="19">
        <v>54.9</v>
      </c>
      <c r="H301" s="19">
        <v>148.22999999999999</v>
      </c>
      <c r="I301" s="19">
        <v>1334.07</v>
      </c>
      <c r="J301" s="18" t="s">
        <v>31</v>
      </c>
      <c r="K301" s="18" t="s">
        <v>19</v>
      </c>
      <c r="L301" s="17" t="s">
        <v>27</v>
      </c>
      <c r="M301" s="17">
        <v>10</v>
      </c>
      <c r="N301" s="20">
        <v>2024</v>
      </c>
    </row>
  </sheetData>
  <pageMargins left="0.75" right="0.75" top="1" bottom="1" header="0.5" footer="0.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D649C-F127-460B-B593-D3447D1ED936}">
  <dimension ref="A1:P301"/>
  <sheetViews>
    <sheetView workbookViewId="0">
      <selection activeCell="K5" sqref="K5"/>
    </sheetView>
  </sheetViews>
  <sheetFormatPr defaultRowHeight="15" x14ac:dyDescent="0.25"/>
  <cols>
    <col min="1" max="1" width="5.140625" bestFit="1" customWidth="1"/>
    <col min="2" max="2" width="10.7109375" bestFit="1" customWidth="1"/>
    <col min="3" max="3" width="14.140625" bestFit="1" customWidth="1"/>
    <col min="4" max="4" width="26.7109375" bestFit="1" customWidth="1"/>
    <col min="5" max="5" width="11.7109375" bestFit="1" customWidth="1"/>
    <col min="6" max="6" width="13" bestFit="1" customWidth="1"/>
    <col min="7" max="7" width="17.28515625" bestFit="1" customWidth="1"/>
    <col min="8" max="8" width="25.7109375" bestFit="1" customWidth="1"/>
    <col min="9" max="9" width="15.7109375" bestFit="1" customWidth="1"/>
    <col min="10" max="10" width="13.5703125" bestFit="1" customWidth="1"/>
    <col min="11" max="11" width="11" bestFit="1" customWidth="1"/>
    <col min="12" max="12" width="11.5703125" bestFit="1" customWidth="1"/>
    <col min="13" max="13" width="12.42578125" bestFit="1" customWidth="1"/>
    <col min="14" max="14" width="6.85546875" bestFit="1" customWidth="1"/>
    <col min="15" max="15" width="13.7109375" bestFit="1" customWidth="1"/>
    <col min="16" max="16" width="9" style="10" bestFit="1" customWidth="1"/>
    <col min="17" max="17" width="8" bestFit="1" customWidth="1"/>
  </cols>
  <sheetData>
    <row r="1" spans="1:16" x14ac:dyDescent="0.25">
      <c r="A1" t="s">
        <v>0</v>
      </c>
      <c r="B1" t="s">
        <v>1</v>
      </c>
      <c r="C1" t="s">
        <v>339</v>
      </c>
      <c r="D1" t="s">
        <v>2</v>
      </c>
      <c r="E1" t="s">
        <v>3</v>
      </c>
      <c r="F1" t="s">
        <v>4</v>
      </c>
      <c r="G1" t="s">
        <v>6</v>
      </c>
      <c r="H1" t="s">
        <v>341</v>
      </c>
      <c r="I1" t="s">
        <v>7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5</v>
      </c>
      <c r="P1" t="s">
        <v>337</v>
      </c>
    </row>
    <row r="2" spans="1:16" x14ac:dyDescent="0.25">
      <c r="A2">
        <v>42</v>
      </c>
      <c r="B2" s="21">
        <v>45654</v>
      </c>
      <c r="C2" t="s">
        <v>340</v>
      </c>
      <c r="D2" s="22" t="s">
        <v>39</v>
      </c>
      <c r="E2" s="22" t="s">
        <v>16</v>
      </c>
      <c r="F2" s="22" t="s">
        <v>343</v>
      </c>
      <c r="G2">
        <v>12.9</v>
      </c>
      <c r="H2" t="s">
        <v>342</v>
      </c>
      <c r="I2">
        <v>0</v>
      </c>
      <c r="J2" s="22" t="s">
        <v>25</v>
      </c>
      <c r="K2" s="22" t="s">
        <v>32</v>
      </c>
      <c r="L2" s="21">
        <v>45627</v>
      </c>
      <c r="M2">
        <v>12</v>
      </c>
      <c r="N2">
        <v>2024</v>
      </c>
      <c r="O2">
        <v>2</v>
      </c>
      <c r="P2">
        <v>25.8</v>
      </c>
    </row>
    <row r="3" spans="1:16" x14ac:dyDescent="0.25">
      <c r="A3">
        <v>207</v>
      </c>
      <c r="B3" s="21">
        <v>45653</v>
      </c>
      <c r="C3" t="s">
        <v>340</v>
      </c>
      <c r="D3" s="22" t="s">
        <v>150</v>
      </c>
      <c r="E3" s="22" t="s">
        <v>29</v>
      </c>
      <c r="F3" s="22" t="s">
        <v>151</v>
      </c>
      <c r="G3">
        <v>11.9</v>
      </c>
      <c r="H3" t="s">
        <v>342</v>
      </c>
      <c r="I3">
        <v>0</v>
      </c>
      <c r="J3" s="22" t="s">
        <v>18</v>
      </c>
      <c r="K3" s="22" t="s">
        <v>32</v>
      </c>
      <c r="L3" s="21">
        <v>45627</v>
      </c>
      <c r="M3">
        <v>12</v>
      </c>
      <c r="N3">
        <v>2024</v>
      </c>
      <c r="O3">
        <v>13</v>
      </c>
      <c r="P3">
        <v>154.70000000000002</v>
      </c>
    </row>
    <row r="4" spans="1:16" x14ac:dyDescent="0.25">
      <c r="A4">
        <v>12</v>
      </c>
      <c r="B4" s="21">
        <v>45652</v>
      </c>
      <c r="C4" t="s">
        <v>340</v>
      </c>
      <c r="D4" s="22" t="s">
        <v>184</v>
      </c>
      <c r="E4" s="22" t="s">
        <v>23</v>
      </c>
      <c r="F4" s="22" t="s">
        <v>185</v>
      </c>
      <c r="G4">
        <v>4.9000000000000004</v>
      </c>
      <c r="H4" t="s">
        <v>342</v>
      </c>
      <c r="I4">
        <v>0</v>
      </c>
      <c r="J4" s="22" t="s">
        <v>31</v>
      </c>
      <c r="K4" s="22" t="s">
        <v>32</v>
      </c>
      <c r="L4" s="21">
        <v>45627</v>
      </c>
      <c r="M4">
        <v>12</v>
      </c>
      <c r="N4">
        <v>2024</v>
      </c>
      <c r="O4">
        <v>2</v>
      </c>
      <c r="P4">
        <v>9.8000000000000007</v>
      </c>
    </row>
    <row r="5" spans="1:16" x14ac:dyDescent="0.25">
      <c r="A5">
        <v>84</v>
      </c>
      <c r="B5" s="21">
        <v>45651</v>
      </c>
      <c r="C5" t="s">
        <v>340</v>
      </c>
      <c r="D5" s="22" t="s">
        <v>217</v>
      </c>
      <c r="E5" s="22" t="s">
        <v>23</v>
      </c>
      <c r="F5" s="22" t="s">
        <v>24</v>
      </c>
      <c r="G5">
        <v>4.5</v>
      </c>
      <c r="H5" t="s">
        <v>342</v>
      </c>
      <c r="I5">
        <v>0</v>
      </c>
      <c r="J5" s="22" t="s">
        <v>18</v>
      </c>
      <c r="K5" s="22" t="s">
        <v>387</v>
      </c>
      <c r="L5" s="21">
        <v>45627</v>
      </c>
      <c r="M5">
        <v>12</v>
      </c>
      <c r="N5">
        <v>2024</v>
      </c>
      <c r="O5">
        <v>13</v>
      </c>
      <c r="P5">
        <v>58.5</v>
      </c>
    </row>
    <row r="6" spans="1:16" x14ac:dyDescent="0.25">
      <c r="A6">
        <v>247</v>
      </c>
      <c r="B6" s="21">
        <v>45648</v>
      </c>
      <c r="C6" t="s">
        <v>340</v>
      </c>
      <c r="D6" s="22" t="s">
        <v>122</v>
      </c>
      <c r="E6" s="22" t="s">
        <v>74</v>
      </c>
      <c r="F6" s="22" t="s">
        <v>57</v>
      </c>
      <c r="G6">
        <v>7.9</v>
      </c>
      <c r="H6" t="s">
        <v>342</v>
      </c>
      <c r="I6">
        <v>11.06</v>
      </c>
      <c r="J6" s="22" t="s">
        <v>40</v>
      </c>
      <c r="K6" s="22" t="s">
        <v>26</v>
      </c>
      <c r="L6" s="21">
        <v>45627</v>
      </c>
      <c r="M6">
        <v>12</v>
      </c>
      <c r="N6">
        <v>2024</v>
      </c>
      <c r="O6">
        <v>12</v>
      </c>
      <c r="P6">
        <v>99.54</v>
      </c>
    </row>
    <row r="7" spans="1:16" x14ac:dyDescent="0.25">
      <c r="A7">
        <v>107</v>
      </c>
      <c r="B7" s="21">
        <v>45648</v>
      </c>
      <c r="C7" t="s">
        <v>340</v>
      </c>
      <c r="D7" s="22" t="s">
        <v>150</v>
      </c>
      <c r="E7" s="22" t="s">
        <v>29</v>
      </c>
      <c r="F7" s="22" t="s">
        <v>151</v>
      </c>
      <c r="G7">
        <v>11.9</v>
      </c>
      <c r="H7" t="s">
        <v>342</v>
      </c>
      <c r="I7">
        <v>9.52</v>
      </c>
      <c r="J7" s="22" t="s">
        <v>45</v>
      </c>
      <c r="K7" s="22" t="s">
        <v>32</v>
      </c>
      <c r="L7" s="21">
        <v>45627</v>
      </c>
      <c r="M7">
        <v>12</v>
      </c>
      <c r="N7">
        <v>2024</v>
      </c>
      <c r="O7">
        <v>15</v>
      </c>
      <c r="P7">
        <v>180.88</v>
      </c>
    </row>
    <row r="8" spans="1:16" x14ac:dyDescent="0.25">
      <c r="A8">
        <v>216</v>
      </c>
      <c r="B8" s="21">
        <v>45647</v>
      </c>
      <c r="C8" t="s">
        <v>340</v>
      </c>
      <c r="D8" s="22" t="s">
        <v>126</v>
      </c>
      <c r="E8" s="22" t="s">
        <v>29</v>
      </c>
      <c r="F8" s="22" t="s">
        <v>345</v>
      </c>
      <c r="G8">
        <v>6.9</v>
      </c>
      <c r="H8" t="s">
        <v>342</v>
      </c>
      <c r="I8">
        <v>0</v>
      </c>
      <c r="J8" s="22" t="s">
        <v>25</v>
      </c>
      <c r="K8" s="22" t="s">
        <v>19</v>
      </c>
      <c r="L8" s="21">
        <v>45627</v>
      </c>
      <c r="M8">
        <v>12</v>
      </c>
      <c r="N8">
        <v>2024</v>
      </c>
      <c r="O8">
        <v>29</v>
      </c>
      <c r="P8">
        <v>200.10000000000002</v>
      </c>
    </row>
    <row r="9" spans="1:16" x14ac:dyDescent="0.25">
      <c r="A9">
        <v>137</v>
      </c>
      <c r="B9" s="21">
        <v>45645</v>
      </c>
      <c r="C9" t="s">
        <v>340</v>
      </c>
      <c r="D9" s="22" t="s">
        <v>39</v>
      </c>
      <c r="E9" s="22" t="s">
        <v>16</v>
      </c>
      <c r="F9" s="22" t="s">
        <v>343</v>
      </c>
      <c r="G9">
        <v>12.9</v>
      </c>
      <c r="H9" t="s">
        <v>342</v>
      </c>
      <c r="I9">
        <v>0</v>
      </c>
      <c r="J9" s="22" t="s">
        <v>40</v>
      </c>
      <c r="K9" s="22" t="s">
        <v>19</v>
      </c>
      <c r="L9" s="21">
        <v>45627</v>
      </c>
      <c r="M9">
        <v>12</v>
      </c>
      <c r="N9">
        <v>2024</v>
      </c>
      <c r="O9">
        <v>8</v>
      </c>
      <c r="P9">
        <v>103.2</v>
      </c>
    </row>
    <row r="10" spans="1:16" x14ac:dyDescent="0.25">
      <c r="A10">
        <v>93</v>
      </c>
      <c r="B10" s="21">
        <v>45643</v>
      </c>
      <c r="C10" t="s">
        <v>340</v>
      </c>
      <c r="D10" s="22" t="s">
        <v>159</v>
      </c>
      <c r="E10" s="22" t="s">
        <v>35</v>
      </c>
      <c r="F10" s="22" t="s">
        <v>137</v>
      </c>
      <c r="G10">
        <v>5.9</v>
      </c>
      <c r="H10" t="s">
        <v>342</v>
      </c>
      <c r="I10">
        <v>0</v>
      </c>
      <c r="J10" s="22" t="s">
        <v>31</v>
      </c>
      <c r="K10" s="22" t="s">
        <v>19</v>
      </c>
      <c r="L10" s="21">
        <v>45627</v>
      </c>
      <c r="M10">
        <v>12</v>
      </c>
      <c r="N10">
        <v>2024</v>
      </c>
      <c r="O10">
        <v>24</v>
      </c>
      <c r="P10">
        <v>141.60000000000002</v>
      </c>
    </row>
    <row r="11" spans="1:16" x14ac:dyDescent="0.25">
      <c r="A11">
        <v>264</v>
      </c>
      <c r="B11" s="21">
        <v>45643</v>
      </c>
      <c r="C11" t="s">
        <v>340</v>
      </c>
      <c r="D11" s="22" t="s">
        <v>217</v>
      </c>
      <c r="E11" s="22" t="s">
        <v>23</v>
      </c>
      <c r="F11" s="22" t="s">
        <v>24</v>
      </c>
      <c r="G11">
        <v>4.5</v>
      </c>
      <c r="H11" t="s">
        <v>342</v>
      </c>
      <c r="I11">
        <v>3.6</v>
      </c>
      <c r="J11" s="22" t="s">
        <v>25</v>
      </c>
      <c r="K11" s="22" t="s">
        <v>32</v>
      </c>
      <c r="L11" s="21">
        <v>45627</v>
      </c>
      <c r="M11">
        <v>12</v>
      </c>
      <c r="N11">
        <v>2024</v>
      </c>
      <c r="O11">
        <v>15</v>
      </c>
      <c r="P11">
        <v>68.399999999999991</v>
      </c>
    </row>
    <row r="12" spans="1:16" x14ac:dyDescent="0.25">
      <c r="A12">
        <v>138</v>
      </c>
      <c r="B12" s="21">
        <v>45642</v>
      </c>
      <c r="C12" t="s">
        <v>340</v>
      </c>
      <c r="D12" s="22" t="s">
        <v>118</v>
      </c>
      <c r="E12" s="22" t="s">
        <v>16</v>
      </c>
      <c r="F12" s="22" t="s">
        <v>119</v>
      </c>
      <c r="G12">
        <v>2.5</v>
      </c>
      <c r="H12" t="s">
        <v>342</v>
      </c>
      <c r="I12">
        <v>0</v>
      </c>
      <c r="J12" s="22" t="s">
        <v>50</v>
      </c>
      <c r="K12" s="22" t="s">
        <v>32</v>
      </c>
      <c r="L12" s="21">
        <v>45627</v>
      </c>
      <c r="M12">
        <v>12</v>
      </c>
      <c r="N12">
        <v>2024</v>
      </c>
      <c r="O12">
        <v>26</v>
      </c>
      <c r="P12">
        <v>65</v>
      </c>
    </row>
    <row r="13" spans="1:16" x14ac:dyDescent="0.25">
      <c r="A13">
        <v>220</v>
      </c>
      <c r="B13" s="21">
        <v>45641</v>
      </c>
      <c r="C13" t="s">
        <v>340</v>
      </c>
      <c r="D13" s="22" t="s">
        <v>207</v>
      </c>
      <c r="E13" s="22" t="s">
        <v>61</v>
      </c>
      <c r="F13" s="22" t="s">
        <v>57</v>
      </c>
      <c r="G13">
        <v>32.9</v>
      </c>
      <c r="H13" t="s">
        <v>342</v>
      </c>
      <c r="I13">
        <v>52.64</v>
      </c>
      <c r="J13" s="22" t="s">
        <v>45</v>
      </c>
      <c r="K13" s="22" t="s">
        <v>32</v>
      </c>
      <c r="L13" s="21">
        <v>45627</v>
      </c>
      <c r="M13">
        <v>12</v>
      </c>
      <c r="N13">
        <v>2024</v>
      </c>
      <c r="O13">
        <v>14</v>
      </c>
      <c r="P13">
        <v>473.76</v>
      </c>
    </row>
    <row r="14" spans="1:16" x14ac:dyDescent="0.25">
      <c r="A14">
        <v>80</v>
      </c>
      <c r="B14" s="21">
        <v>45641</v>
      </c>
      <c r="C14" t="s">
        <v>340</v>
      </c>
      <c r="D14" s="22" t="s">
        <v>207</v>
      </c>
      <c r="E14" s="22" t="s">
        <v>61</v>
      </c>
      <c r="F14" s="22" t="s">
        <v>57</v>
      </c>
      <c r="G14">
        <v>32.9</v>
      </c>
      <c r="H14" t="s">
        <v>342</v>
      </c>
      <c r="I14">
        <v>0</v>
      </c>
      <c r="J14" s="22" t="s">
        <v>31</v>
      </c>
      <c r="K14" s="22" t="s">
        <v>26</v>
      </c>
      <c r="L14" s="21">
        <v>45627</v>
      </c>
      <c r="M14">
        <v>12</v>
      </c>
      <c r="N14">
        <v>2024</v>
      </c>
      <c r="O14">
        <v>22</v>
      </c>
      <c r="P14">
        <v>723.8</v>
      </c>
    </row>
    <row r="15" spans="1:16" x14ac:dyDescent="0.25">
      <c r="A15">
        <v>98</v>
      </c>
      <c r="B15" s="21">
        <v>45638</v>
      </c>
      <c r="C15" t="s">
        <v>340</v>
      </c>
      <c r="D15" s="22" t="s">
        <v>103</v>
      </c>
      <c r="E15" s="22" t="s">
        <v>35</v>
      </c>
      <c r="F15" s="22" t="s">
        <v>95</v>
      </c>
      <c r="G15">
        <v>54.9</v>
      </c>
      <c r="H15" t="s">
        <v>342</v>
      </c>
      <c r="I15">
        <v>0</v>
      </c>
      <c r="J15" s="22" t="s">
        <v>50</v>
      </c>
      <c r="K15" s="22" t="s">
        <v>26</v>
      </c>
      <c r="L15" s="21">
        <v>45627</v>
      </c>
      <c r="M15">
        <v>12</v>
      </c>
      <c r="N15">
        <v>2024</v>
      </c>
      <c r="O15">
        <v>29</v>
      </c>
      <c r="P15">
        <v>1592.1</v>
      </c>
    </row>
    <row r="16" spans="1:16" x14ac:dyDescent="0.25">
      <c r="A16">
        <v>238</v>
      </c>
      <c r="B16" s="21">
        <v>45637</v>
      </c>
      <c r="C16" t="s">
        <v>340</v>
      </c>
      <c r="D16" s="22" t="s">
        <v>67</v>
      </c>
      <c r="E16" s="22" t="s">
        <v>68</v>
      </c>
      <c r="F16" s="22" t="s">
        <v>49</v>
      </c>
      <c r="G16">
        <v>8.9</v>
      </c>
      <c r="H16" t="s">
        <v>342</v>
      </c>
      <c r="I16">
        <v>24.92</v>
      </c>
      <c r="J16" s="22" t="s">
        <v>31</v>
      </c>
      <c r="K16" s="22" t="s">
        <v>32</v>
      </c>
      <c r="L16" s="21">
        <v>45627</v>
      </c>
      <c r="M16">
        <v>12</v>
      </c>
      <c r="N16">
        <v>2024</v>
      </c>
      <c r="O16">
        <v>25</v>
      </c>
      <c r="P16">
        <v>224.28</v>
      </c>
    </row>
    <row r="17" spans="1:16" x14ac:dyDescent="0.25">
      <c r="A17">
        <v>146</v>
      </c>
      <c r="B17" s="21">
        <v>45634</v>
      </c>
      <c r="C17" t="s">
        <v>340</v>
      </c>
      <c r="D17" s="22" t="s">
        <v>150</v>
      </c>
      <c r="E17" s="22" t="s">
        <v>29</v>
      </c>
      <c r="F17" s="22" t="s">
        <v>151</v>
      </c>
      <c r="G17">
        <v>11.9</v>
      </c>
      <c r="H17" t="s">
        <v>342</v>
      </c>
      <c r="I17">
        <v>0</v>
      </c>
      <c r="J17" s="22" t="s">
        <v>18</v>
      </c>
      <c r="K17" s="22" t="s">
        <v>19</v>
      </c>
      <c r="L17" s="21">
        <v>45627</v>
      </c>
      <c r="M17">
        <v>12</v>
      </c>
      <c r="N17">
        <v>2024</v>
      </c>
      <c r="O17">
        <v>11</v>
      </c>
      <c r="P17">
        <v>130.9</v>
      </c>
    </row>
    <row r="18" spans="1:16" x14ac:dyDescent="0.25">
      <c r="A18">
        <v>297</v>
      </c>
      <c r="B18" s="21">
        <v>45634</v>
      </c>
      <c r="C18" t="s">
        <v>340</v>
      </c>
      <c r="D18" s="22" t="s">
        <v>144</v>
      </c>
      <c r="E18" s="22" t="s">
        <v>29</v>
      </c>
      <c r="F18" s="22" t="s">
        <v>145</v>
      </c>
      <c r="G18">
        <v>3.9</v>
      </c>
      <c r="H18" t="s">
        <v>342</v>
      </c>
      <c r="I18">
        <v>0.57999999999999996</v>
      </c>
      <c r="J18" s="22" t="s">
        <v>40</v>
      </c>
      <c r="K18" s="22" t="s">
        <v>32</v>
      </c>
      <c r="L18" s="21">
        <v>45627</v>
      </c>
      <c r="M18">
        <v>12</v>
      </c>
      <c r="N18">
        <v>2024</v>
      </c>
      <c r="O18">
        <v>2</v>
      </c>
      <c r="P18">
        <v>11.115</v>
      </c>
    </row>
    <row r="19" spans="1:16" x14ac:dyDescent="0.25">
      <c r="A19">
        <v>96</v>
      </c>
      <c r="B19" s="21">
        <v>45633</v>
      </c>
      <c r="C19" t="s">
        <v>340</v>
      </c>
      <c r="D19" s="22" t="s">
        <v>134</v>
      </c>
      <c r="E19" s="22" t="s">
        <v>68</v>
      </c>
      <c r="F19" s="22" t="s">
        <v>17</v>
      </c>
      <c r="G19">
        <v>0.75</v>
      </c>
      <c r="H19" t="s">
        <v>342</v>
      </c>
      <c r="I19">
        <v>0.41</v>
      </c>
      <c r="J19" s="22" t="s">
        <v>40</v>
      </c>
      <c r="K19" s="22" t="s">
        <v>19</v>
      </c>
      <c r="L19" s="21">
        <v>45627</v>
      </c>
      <c r="M19">
        <v>12</v>
      </c>
      <c r="N19">
        <v>2024</v>
      </c>
      <c r="O19">
        <v>10</v>
      </c>
      <c r="P19">
        <v>7.8374999999999995</v>
      </c>
    </row>
    <row r="20" spans="1:16" x14ac:dyDescent="0.25">
      <c r="A20">
        <v>276</v>
      </c>
      <c r="B20" s="21">
        <v>45632</v>
      </c>
      <c r="C20" t="s">
        <v>340</v>
      </c>
      <c r="D20" s="22" t="s">
        <v>94</v>
      </c>
      <c r="E20" s="22" t="s">
        <v>35</v>
      </c>
      <c r="F20" s="22" t="s">
        <v>95</v>
      </c>
      <c r="G20">
        <v>19.899999999999999</v>
      </c>
      <c r="H20" t="s">
        <v>342</v>
      </c>
      <c r="I20">
        <v>0</v>
      </c>
      <c r="J20" s="22" t="s">
        <v>31</v>
      </c>
      <c r="K20" s="22" t="s">
        <v>26</v>
      </c>
      <c r="L20" s="21">
        <v>45627</v>
      </c>
      <c r="M20">
        <v>12</v>
      </c>
      <c r="N20">
        <v>2024</v>
      </c>
      <c r="O20">
        <v>14</v>
      </c>
      <c r="P20">
        <v>278.59999999999997</v>
      </c>
    </row>
    <row r="21" spans="1:16" x14ac:dyDescent="0.25">
      <c r="A21">
        <v>95</v>
      </c>
      <c r="B21" s="21">
        <v>45631</v>
      </c>
      <c r="C21" t="s">
        <v>340</v>
      </c>
      <c r="D21" s="22" t="s">
        <v>22</v>
      </c>
      <c r="E21" s="22" t="s">
        <v>23</v>
      </c>
      <c r="F21" s="22" t="s">
        <v>24</v>
      </c>
      <c r="G21">
        <v>2.9</v>
      </c>
      <c r="H21" t="s">
        <v>342</v>
      </c>
      <c r="I21">
        <v>0</v>
      </c>
      <c r="J21" s="22" t="s">
        <v>50</v>
      </c>
      <c r="K21" s="22" t="s">
        <v>19</v>
      </c>
      <c r="L21" s="21">
        <v>45627</v>
      </c>
      <c r="M21">
        <v>12</v>
      </c>
      <c r="N21">
        <v>2024</v>
      </c>
      <c r="O21">
        <v>24</v>
      </c>
      <c r="P21">
        <v>69.599999999999994</v>
      </c>
    </row>
    <row r="22" spans="1:16" x14ac:dyDescent="0.25">
      <c r="A22">
        <v>231</v>
      </c>
      <c r="B22" s="21">
        <v>45629</v>
      </c>
      <c r="C22" t="s">
        <v>340</v>
      </c>
      <c r="D22" s="22" t="s">
        <v>82</v>
      </c>
      <c r="E22" s="22" t="s">
        <v>35</v>
      </c>
      <c r="F22" s="22" t="s">
        <v>36</v>
      </c>
      <c r="G22">
        <v>14.9</v>
      </c>
      <c r="H22" t="s">
        <v>342</v>
      </c>
      <c r="I22">
        <v>0</v>
      </c>
      <c r="J22" s="22" t="s">
        <v>40</v>
      </c>
      <c r="K22" s="22" t="s">
        <v>32</v>
      </c>
      <c r="L22" s="21">
        <v>45627</v>
      </c>
      <c r="M22">
        <v>12</v>
      </c>
      <c r="N22">
        <v>2024</v>
      </c>
      <c r="O22">
        <v>27</v>
      </c>
      <c r="P22">
        <v>402.3</v>
      </c>
    </row>
    <row r="23" spans="1:16" x14ac:dyDescent="0.25">
      <c r="A23">
        <v>284</v>
      </c>
      <c r="B23" s="21">
        <v>45628</v>
      </c>
      <c r="C23" t="s">
        <v>340</v>
      </c>
      <c r="D23" s="22" t="s">
        <v>67</v>
      </c>
      <c r="E23" s="22" t="s">
        <v>68</v>
      </c>
      <c r="F23" s="22" t="s">
        <v>49</v>
      </c>
      <c r="G23">
        <v>8.9</v>
      </c>
      <c r="H23" t="s">
        <v>342</v>
      </c>
      <c r="I23">
        <v>0</v>
      </c>
      <c r="J23" s="22" t="s">
        <v>40</v>
      </c>
      <c r="K23" s="22" t="s">
        <v>26</v>
      </c>
      <c r="L23" s="21">
        <v>45627</v>
      </c>
      <c r="M23">
        <v>12</v>
      </c>
      <c r="N23">
        <v>2024</v>
      </c>
      <c r="O23">
        <v>3</v>
      </c>
      <c r="P23">
        <v>26.700000000000003</v>
      </c>
    </row>
    <row r="24" spans="1:16" x14ac:dyDescent="0.25">
      <c r="A24">
        <v>108</v>
      </c>
      <c r="B24" s="21">
        <v>45627</v>
      </c>
      <c r="C24" t="s">
        <v>340</v>
      </c>
      <c r="D24" s="22" t="s">
        <v>34</v>
      </c>
      <c r="E24" s="22" t="s">
        <v>35</v>
      </c>
      <c r="F24" s="22" t="s">
        <v>36</v>
      </c>
      <c r="G24">
        <v>14.9</v>
      </c>
      <c r="H24" t="s">
        <v>342</v>
      </c>
      <c r="I24">
        <v>0</v>
      </c>
      <c r="J24" s="22" t="s">
        <v>18</v>
      </c>
      <c r="K24" s="22" t="s">
        <v>32</v>
      </c>
      <c r="L24" s="21">
        <v>45627</v>
      </c>
      <c r="M24">
        <v>12</v>
      </c>
      <c r="N24">
        <v>2024</v>
      </c>
      <c r="O24">
        <v>1</v>
      </c>
      <c r="P24">
        <v>14.9</v>
      </c>
    </row>
    <row r="25" spans="1:16" x14ac:dyDescent="0.25">
      <c r="A25">
        <v>52</v>
      </c>
      <c r="B25" s="21">
        <v>45625</v>
      </c>
      <c r="C25" t="s">
        <v>340</v>
      </c>
      <c r="D25" s="22" t="s">
        <v>122</v>
      </c>
      <c r="E25" s="22" t="s">
        <v>74</v>
      </c>
      <c r="F25" s="22" t="s">
        <v>57</v>
      </c>
      <c r="G25">
        <v>7.9</v>
      </c>
      <c r="H25" t="s">
        <v>342</v>
      </c>
      <c r="I25">
        <v>0</v>
      </c>
      <c r="J25" s="22" t="s">
        <v>25</v>
      </c>
      <c r="K25" s="22" t="s">
        <v>32</v>
      </c>
      <c r="L25" s="21">
        <v>45597</v>
      </c>
      <c r="M25">
        <v>11</v>
      </c>
      <c r="N25">
        <v>2024</v>
      </c>
      <c r="O25">
        <v>27</v>
      </c>
      <c r="P25">
        <v>213.3</v>
      </c>
    </row>
    <row r="26" spans="1:16" x14ac:dyDescent="0.25">
      <c r="A26">
        <v>5</v>
      </c>
      <c r="B26" s="21">
        <v>45624</v>
      </c>
      <c r="C26" t="s">
        <v>340</v>
      </c>
      <c r="D26" s="22" t="s">
        <v>34</v>
      </c>
      <c r="E26" s="22" t="s">
        <v>35</v>
      </c>
      <c r="F26" s="22" t="s">
        <v>36</v>
      </c>
      <c r="G26">
        <v>14.9</v>
      </c>
      <c r="H26" t="s">
        <v>342</v>
      </c>
      <c r="I26">
        <v>13.41</v>
      </c>
      <c r="J26" s="22" t="s">
        <v>45</v>
      </c>
      <c r="K26" s="22" t="s">
        <v>19</v>
      </c>
      <c r="L26" s="21">
        <v>45597</v>
      </c>
      <c r="M26">
        <v>11</v>
      </c>
      <c r="N26">
        <v>2024</v>
      </c>
      <c r="O26">
        <v>17</v>
      </c>
      <c r="P26">
        <v>254.79000000000002</v>
      </c>
    </row>
    <row r="27" spans="1:16" x14ac:dyDescent="0.25">
      <c r="A27">
        <v>244</v>
      </c>
      <c r="B27" s="21">
        <v>45624</v>
      </c>
      <c r="C27" t="s">
        <v>340</v>
      </c>
      <c r="D27" s="22" t="s">
        <v>134</v>
      </c>
      <c r="E27" s="22" t="s">
        <v>68</v>
      </c>
      <c r="F27" s="22" t="s">
        <v>17</v>
      </c>
      <c r="G27">
        <v>0.75</v>
      </c>
      <c r="H27" t="s">
        <v>342</v>
      </c>
      <c r="I27">
        <v>0</v>
      </c>
      <c r="J27" s="22" t="s">
        <v>25</v>
      </c>
      <c r="K27" s="22" t="s">
        <v>32</v>
      </c>
      <c r="L27" s="21">
        <v>45597</v>
      </c>
      <c r="M27">
        <v>11</v>
      </c>
      <c r="N27">
        <v>2024</v>
      </c>
      <c r="O27">
        <v>4</v>
      </c>
      <c r="P27">
        <v>3</v>
      </c>
    </row>
    <row r="28" spans="1:16" x14ac:dyDescent="0.25">
      <c r="A28">
        <v>197</v>
      </c>
      <c r="B28" s="21">
        <v>45623</v>
      </c>
      <c r="C28" t="s">
        <v>340</v>
      </c>
      <c r="D28" s="22" t="s">
        <v>115</v>
      </c>
      <c r="E28" s="22" t="s">
        <v>23</v>
      </c>
      <c r="F28" s="22" t="s">
        <v>116</v>
      </c>
      <c r="G28">
        <v>12.5</v>
      </c>
      <c r="H28" t="s">
        <v>342</v>
      </c>
      <c r="I28">
        <v>0</v>
      </c>
      <c r="J28" s="22" t="s">
        <v>50</v>
      </c>
      <c r="K28" s="22" t="s">
        <v>26</v>
      </c>
      <c r="L28" s="21">
        <v>45597</v>
      </c>
      <c r="M28">
        <v>11</v>
      </c>
      <c r="N28">
        <v>2024</v>
      </c>
      <c r="O28">
        <v>16</v>
      </c>
      <c r="P28">
        <v>200</v>
      </c>
    </row>
    <row r="29" spans="1:16" x14ac:dyDescent="0.25">
      <c r="A29">
        <v>140</v>
      </c>
      <c r="B29" s="21">
        <v>45623</v>
      </c>
      <c r="C29" t="s">
        <v>340</v>
      </c>
      <c r="D29" s="22" t="s">
        <v>28</v>
      </c>
      <c r="E29" s="22" t="s">
        <v>29</v>
      </c>
      <c r="F29" s="22" t="s">
        <v>343</v>
      </c>
      <c r="G29">
        <v>5.9</v>
      </c>
      <c r="H29" t="s">
        <v>342</v>
      </c>
      <c r="I29">
        <v>0.3</v>
      </c>
      <c r="J29" s="22" t="s">
        <v>18</v>
      </c>
      <c r="K29" s="22" t="s">
        <v>32</v>
      </c>
      <c r="L29" s="21">
        <v>45597</v>
      </c>
      <c r="M29">
        <v>11</v>
      </c>
      <c r="N29">
        <v>2024</v>
      </c>
      <c r="O29">
        <v>0</v>
      </c>
      <c r="P29">
        <v>5.6050000000000004</v>
      </c>
    </row>
    <row r="30" spans="1:16" x14ac:dyDescent="0.25">
      <c r="A30">
        <v>151</v>
      </c>
      <c r="B30" s="21">
        <v>45622</v>
      </c>
      <c r="C30" t="s">
        <v>340</v>
      </c>
      <c r="D30" s="22" t="s">
        <v>136</v>
      </c>
      <c r="E30" s="22" t="s">
        <v>35</v>
      </c>
      <c r="F30" s="22" t="s">
        <v>137</v>
      </c>
      <c r="G30">
        <v>4.9000000000000004</v>
      </c>
      <c r="H30" t="s">
        <v>342</v>
      </c>
      <c r="I30">
        <v>3.92</v>
      </c>
      <c r="J30" s="22" t="s">
        <v>25</v>
      </c>
      <c r="K30" s="22" t="s">
        <v>32</v>
      </c>
      <c r="L30" s="21">
        <v>45597</v>
      </c>
      <c r="M30">
        <v>11</v>
      </c>
      <c r="N30">
        <v>2024</v>
      </c>
      <c r="O30">
        <v>15</v>
      </c>
      <c r="P30">
        <v>74.48</v>
      </c>
    </row>
    <row r="31" spans="1:16" x14ac:dyDescent="0.25">
      <c r="A31">
        <v>48</v>
      </c>
      <c r="B31" s="21">
        <v>45622</v>
      </c>
      <c r="C31" t="s">
        <v>340</v>
      </c>
      <c r="D31" s="22" t="s">
        <v>217</v>
      </c>
      <c r="E31" s="22" t="s">
        <v>23</v>
      </c>
      <c r="F31" s="22" t="s">
        <v>24</v>
      </c>
      <c r="G31">
        <v>4.5</v>
      </c>
      <c r="H31" t="s">
        <v>342</v>
      </c>
      <c r="I31">
        <v>0.45</v>
      </c>
      <c r="J31" s="22" t="s">
        <v>40</v>
      </c>
      <c r="K31" s="22" t="s">
        <v>19</v>
      </c>
      <c r="L31" s="21">
        <v>45597</v>
      </c>
      <c r="M31">
        <v>11</v>
      </c>
      <c r="N31">
        <v>2024</v>
      </c>
      <c r="O31">
        <v>1</v>
      </c>
      <c r="P31">
        <v>8.5499999999999989</v>
      </c>
    </row>
    <row r="32" spans="1:16" x14ac:dyDescent="0.25">
      <c r="A32">
        <v>281</v>
      </c>
      <c r="B32" s="21">
        <v>45621</v>
      </c>
      <c r="C32" t="s">
        <v>340</v>
      </c>
      <c r="D32" s="22" t="s">
        <v>128</v>
      </c>
      <c r="E32" s="22" t="s">
        <v>74</v>
      </c>
      <c r="F32" s="22" t="s">
        <v>57</v>
      </c>
      <c r="G32">
        <v>5.9</v>
      </c>
      <c r="H32" t="s">
        <v>342</v>
      </c>
      <c r="I32">
        <v>0.59</v>
      </c>
      <c r="J32" s="22" t="s">
        <v>40</v>
      </c>
      <c r="K32" s="22" t="s">
        <v>26</v>
      </c>
      <c r="L32" s="21">
        <v>45597</v>
      </c>
      <c r="M32">
        <v>11</v>
      </c>
      <c r="N32">
        <v>2024</v>
      </c>
      <c r="O32">
        <v>0</v>
      </c>
      <c r="P32">
        <v>5.3100000000000005</v>
      </c>
    </row>
    <row r="33" spans="1:16" x14ac:dyDescent="0.25">
      <c r="A33">
        <v>263</v>
      </c>
      <c r="B33" s="21">
        <v>45621</v>
      </c>
      <c r="C33" t="s">
        <v>340</v>
      </c>
      <c r="D33" s="22" t="s">
        <v>175</v>
      </c>
      <c r="E33" s="22" t="s">
        <v>23</v>
      </c>
      <c r="F33" s="22" t="s">
        <v>24</v>
      </c>
      <c r="G33">
        <v>8.5</v>
      </c>
      <c r="H33" t="s">
        <v>342</v>
      </c>
      <c r="I33">
        <v>0.85</v>
      </c>
      <c r="J33" s="22" t="s">
        <v>18</v>
      </c>
      <c r="K33" s="22" t="s">
        <v>19</v>
      </c>
      <c r="L33" s="21">
        <v>45597</v>
      </c>
      <c r="M33">
        <v>11</v>
      </c>
      <c r="N33">
        <v>2024</v>
      </c>
      <c r="O33">
        <v>1</v>
      </c>
      <c r="P33">
        <v>16.149999999999999</v>
      </c>
    </row>
    <row r="34" spans="1:16" x14ac:dyDescent="0.25">
      <c r="A34">
        <v>224</v>
      </c>
      <c r="B34" s="21">
        <v>45619</v>
      </c>
      <c r="C34" t="s">
        <v>340</v>
      </c>
      <c r="D34" s="22" t="s">
        <v>108</v>
      </c>
      <c r="E34" s="22" t="s">
        <v>68</v>
      </c>
      <c r="F34" s="22" t="s">
        <v>49</v>
      </c>
      <c r="G34">
        <v>24.9</v>
      </c>
      <c r="H34" t="s">
        <v>342</v>
      </c>
      <c r="I34">
        <v>0</v>
      </c>
      <c r="J34" s="22" t="s">
        <v>18</v>
      </c>
      <c r="K34" s="22" t="s">
        <v>19</v>
      </c>
      <c r="L34" s="21">
        <v>45597</v>
      </c>
      <c r="M34">
        <v>11</v>
      </c>
      <c r="N34">
        <v>2024</v>
      </c>
      <c r="O34">
        <v>23</v>
      </c>
      <c r="P34">
        <v>572.69999999999993</v>
      </c>
    </row>
    <row r="35" spans="1:16" x14ac:dyDescent="0.25">
      <c r="A35">
        <v>1</v>
      </c>
      <c r="B35" s="21">
        <v>45619</v>
      </c>
      <c r="C35" t="s">
        <v>340</v>
      </c>
      <c r="D35" s="22" t="s">
        <v>22</v>
      </c>
      <c r="E35" s="22" t="s">
        <v>23</v>
      </c>
      <c r="F35" s="22" t="s">
        <v>24</v>
      </c>
      <c r="G35">
        <v>2.9</v>
      </c>
      <c r="H35" t="s">
        <v>342</v>
      </c>
      <c r="I35">
        <v>0</v>
      </c>
      <c r="J35" s="22" t="s">
        <v>45</v>
      </c>
      <c r="K35" s="22" t="s">
        <v>32</v>
      </c>
      <c r="L35" s="21">
        <v>45597</v>
      </c>
      <c r="M35">
        <v>11</v>
      </c>
      <c r="N35">
        <v>2024</v>
      </c>
      <c r="O35">
        <v>1</v>
      </c>
      <c r="P35">
        <v>2.9</v>
      </c>
    </row>
    <row r="36" spans="1:16" x14ac:dyDescent="0.25">
      <c r="A36">
        <v>241</v>
      </c>
      <c r="B36" s="21">
        <v>45618</v>
      </c>
      <c r="C36" t="s">
        <v>340</v>
      </c>
      <c r="D36" s="22" t="s">
        <v>79</v>
      </c>
      <c r="E36" s="22" t="s">
        <v>29</v>
      </c>
      <c r="F36" s="22" t="s">
        <v>80</v>
      </c>
      <c r="G36">
        <v>7.9</v>
      </c>
      <c r="H36" t="s">
        <v>342</v>
      </c>
      <c r="I36">
        <v>0</v>
      </c>
      <c r="J36" s="22" t="s">
        <v>18</v>
      </c>
      <c r="K36" s="22" t="s">
        <v>32</v>
      </c>
      <c r="L36" s="21">
        <v>45597</v>
      </c>
      <c r="M36">
        <v>11</v>
      </c>
      <c r="N36">
        <v>2024</v>
      </c>
      <c r="O36">
        <v>4</v>
      </c>
      <c r="P36">
        <v>31.6</v>
      </c>
    </row>
    <row r="37" spans="1:16" x14ac:dyDescent="0.25">
      <c r="A37">
        <v>73</v>
      </c>
      <c r="B37" s="21">
        <v>45616</v>
      </c>
      <c r="C37" t="s">
        <v>340</v>
      </c>
      <c r="D37" s="22" t="s">
        <v>60</v>
      </c>
      <c r="E37" s="22" t="s">
        <v>61</v>
      </c>
      <c r="F37" s="22" t="s">
        <v>62</v>
      </c>
      <c r="G37">
        <v>12.9</v>
      </c>
      <c r="H37" t="s">
        <v>342</v>
      </c>
      <c r="I37">
        <v>10.96</v>
      </c>
      <c r="J37" s="22" t="s">
        <v>31</v>
      </c>
      <c r="K37" s="22" t="s">
        <v>32</v>
      </c>
      <c r="L37" s="21">
        <v>45597</v>
      </c>
      <c r="M37">
        <v>11</v>
      </c>
      <c r="N37">
        <v>2024</v>
      </c>
      <c r="O37">
        <v>16</v>
      </c>
      <c r="P37">
        <v>208.33499999999998</v>
      </c>
    </row>
    <row r="38" spans="1:16" x14ac:dyDescent="0.25">
      <c r="A38">
        <v>165</v>
      </c>
      <c r="B38" s="21">
        <v>45614</v>
      </c>
      <c r="C38" t="s">
        <v>340</v>
      </c>
      <c r="D38" s="22" t="s">
        <v>82</v>
      </c>
      <c r="E38" s="22" t="s">
        <v>35</v>
      </c>
      <c r="F38" s="22" t="s">
        <v>36</v>
      </c>
      <c r="G38">
        <v>14.9</v>
      </c>
      <c r="H38" t="s">
        <v>342</v>
      </c>
      <c r="I38">
        <v>0</v>
      </c>
      <c r="J38" s="22" t="s">
        <v>45</v>
      </c>
      <c r="K38" s="22" t="s">
        <v>26</v>
      </c>
      <c r="L38" s="21">
        <v>45597</v>
      </c>
      <c r="M38">
        <v>11</v>
      </c>
      <c r="N38">
        <v>2024</v>
      </c>
      <c r="O38">
        <v>2</v>
      </c>
      <c r="P38">
        <v>29.8</v>
      </c>
    </row>
    <row r="39" spans="1:16" x14ac:dyDescent="0.25">
      <c r="A39">
        <v>232</v>
      </c>
      <c r="B39" s="21">
        <v>45613</v>
      </c>
      <c r="C39" t="s">
        <v>340</v>
      </c>
      <c r="D39" s="22" t="s">
        <v>161</v>
      </c>
      <c r="E39" s="22" t="s">
        <v>16</v>
      </c>
      <c r="F39" s="22" t="s">
        <v>119</v>
      </c>
      <c r="G39">
        <v>5.9</v>
      </c>
      <c r="H39" t="s">
        <v>344</v>
      </c>
      <c r="I39">
        <v>0</v>
      </c>
      <c r="J39" s="22" t="s">
        <v>18</v>
      </c>
      <c r="K39" s="22" t="s">
        <v>32</v>
      </c>
      <c r="L39" s="21">
        <v>45597</v>
      </c>
      <c r="M39">
        <v>11</v>
      </c>
      <c r="N39">
        <v>2024</v>
      </c>
      <c r="O39">
        <v>2</v>
      </c>
      <c r="P39">
        <v>11.8</v>
      </c>
    </row>
    <row r="40" spans="1:16" x14ac:dyDescent="0.25">
      <c r="A40">
        <v>213</v>
      </c>
      <c r="B40" s="21">
        <v>45612</v>
      </c>
      <c r="C40" t="s">
        <v>340</v>
      </c>
      <c r="D40" s="22" t="s">
        <v>136</v>
      </c>
      <c r="E40" s="22" t="s">
        <v>35</v>
      </c>
      <c r="F40" s="22" t="s">
        <v>137</v>
      </c>
      <c r="G40">
        <v>4.9000000000000004</v>
      </c>
      <c r="H40" t="s">
        <v>342</v>
      </c>
      <c r="I40">
        <v>7.11</v>
      </c>
      <c r="J40" s="22" t="s">
        <v>50</v>
      </c>
      <c r="K40" s="22" t="s">
        <v>32</v>
      </c>
      <c r="L40" s="21">
        <v>45597</v>
      </c>
      <c r="M40">
        <v>11</v>
      </c>
      <c r="N40">
        <v>2024</v>
      </c>
      <c r="O40">
        <v>27</v>
      </c>
      <c r="P40">
        <v>134.995</v>
      </c>
    </row>
    <row r="41" spans="1:16" x14ac:dyDescent="0.25">
      <c r="A41">
        <v>192</v>
      </c>
      <c r="B41" s="21">
        <v>45612</v>
      </c>
      <c r="C41" t="s">
        <v>340</v>
      </c>
      <c r="D41" s="22" t="s">
        <v>139</v>
      </c>
      <c r="E41" s="22" t="s">
        <v>68</v>
      </c>
      <c r="F41" s="22" t="s">
        <v>17</v>
      </c>
      <c r="G41">
        <v>4.5</v>
      </c>
      <c r="H41" t="s">
        <v>342</v>
      </c>
      <c r="I41">
        <v>0</v>
      </c>
      <c r="J41" s="22" t="s">
        <v>45</v>
      </c>
      <c r="K41" s="22" t="s">
        <v>19</v>
      </c>
      <c r="L41" s="21">
        <v>45597</v>
      </c>
      <c r="M41">
        <v>11</v>
      </c>
      <c r="N41">
        <v>2024</v>
      </c>
      <c r="O41">
        <v>25</v>
      </c>
      <c r="P41">
        <v>112.5</v>
      </c>
    </row>
    <row r="42" spans="1:16" x14ac:dyDescent="0.25">
      <c r="A42">
        <v>266</v>
      </c>
      <c r="B42" s="21">
        <v>45611</v>
      </c>
      <c r="C42" t="s">
        <v>340</v>
      </c>
      <c r="D42" s="22" t="s">
        <v>39</v>
      </c>
      <c r="E42" s="22" t="s">
        <v>16</v>
      </c>
      <c r="F42" s="22" t="s">
        <v>343</v>
      </c>
      <c r="G42">
        <v>12.9</v>
      </c>
      <c r="H42" t="s">
        <v>342</v>
      </c>
      <c r="I42">
        <v>24.51</v>
      </c>
      <c r="J42" s="22" t="s">
        <v>40</v>
      </c>
      <c r="K42" s="22" t="s">
        <v>19</v>
      </c>
      <c r="L42" s="21">
        <v>45597</v>
      </c>
      <c r="M42">
        <v>11</v>
      </c>
      <c r="N42">
        <v>2024</v>
      </c>
      <c r="O42">
        <v>17</v>
      </c>
      <c r="P42">
        <v>220.59000000000003</v>
      </c>
    </row>
    <row r="43" spans="1:16" x14ac:dyDescent="0.25">
      <c r="A43">
        <v>242</v>
      </c>
      <c r="B43" s="21">
        <v>45609</v>
      </c>
      <c r="C43" t="s">
        <v>340</v>
      </c>
      <c r="D43" s="22" t="s">
        <v>128</v>
      </c>
      <c r="E43" s="22" t="s">
        <v>74</v>
      </c>
      <c r="F43" s="22" t="s">
        <v>57</v>
      </c>
      <c r="G43">
        <v>5.9</v>
      </c>
      <c r="H43" t="s">
        <v>342</v>
      </c>
      <c r="I43">
        <v>6.49</v>
      </c>
      <c r="J43" s="22" t="s">
        <v>45</v>
      </c>
      <c r="K43" s="22" t="s">
        <v>26</v>
      </c>
      <c r="L43" s="21">
        <v>45597</v>
      </c>
      <c r="M43">
        <v>11</v>
      </c>
      <c r="N43">
        <v>2024</v>
      </c>
      <c r="O43">
        <v>9</v>
      </c>
      <c r="P43">
        <v>58.410000000000004</v>
      </c>
    </row>
    <row r="44" spans="1:16" x14ac:dyDescent="0.25">
      <c r="A44">
        <v>214</v>
      </c>
      <c r="B44" s="21">
        <v>45608</v>
      </c>
      <c r="C44" t="s">
        <v>340</v>
      </c>
      <c r="D44" s="22" t="s">
        <v>184</v>
      </c>
      <c r="E44" s="22" t="s">
        <v>23</v>
      </c>
      <c r="F44" s="22" t="s">
        <v>185</v>
      </c>
      <c r="G44">
        <v>4.9000000000000004</v>
      </c>
      <c r="H44" t="s">
        <v>342</v>
      </c>
      <c r="I44">
        <v>0</v>
      </c>
      <c r="J44" s="22" t="s">
        <v>45</v>
      </c>
      <c r="K44" s="22" t="s">
        <v>26</v>
      </c>
      <c r="L44" s="21">
        <v>45597</v>
      </c>
      <c r="M44">
        <v>11</v>
      </c>
      <c r="N44">
        <v>2024</v>
      </c>
      <c r="O44">
        <v>8</v>
      </c>
      <c r="P44">
        <v>39.200000000000003</v>
      </c>
    </row>
    <row r="45" spans="1:16" x14ac:dyDescent="0.25">
      <c r="A45">
        <v>143</v>
      </c>
      <c r="B45" s="21">
        <v>45607</v>
      </c>
      <c r="C45" t="s">
        <v>340</v>
      </c>
      <c r="D45" s="22" t="s">
        <v>122</v>
      </c>
      <c r="E45" s="22" t="s">
        <v>74</v>
      </c>
      <c r="F45" s="22" t="s">
        <v>57</v>
      </c>
      <c r="G45">
        <v>7.9</v>
      </c>
      <c r="H45" t="s">
        <v>342</v>
      </c>
      <c r="I45">
        <v>9.8800000000000008</v>
      </c>
      <c r="J45" s="22" t="s">
        <v>18</v>
      </c>
      <c r="K45" s="22" t="s">
        <v>19</v>
      </c>
      <c r="L45" s="21">
        <v>45597</v>
      </c>
      <c r="M45">
        <v>11</v>
      </c>
      <c r="N45">
        <v>2024</v>
      </c>
      <c r="O45">
        <v>23</v>
      </c>
      <c r="P45">
        <v>187.625</v>
      </c>
    </row>
    <row r="46" spans="1:16" x14ac:dyDescent="0.25">
      <c r="A46">
        <v>69</v>
      </c>
      <c r="B46" s="21">
        <v>45605</v>
      </c>
      <c r="C46" t="s">
        <v>340</v>
      </c>
      <c r="D46" s="22" t="s">
        <v>161</v>
      </c>
      <c r="E46" s="22" t="s">
        <v>16</v>
      </c>
      <c r="F46" s="22" t="s">
        <v>119</v>
      </c>
      <c r="G46">
        <v>5.9</v>
      </c>
      <c r="H46" t="s">
        <v>342</v>
      </c>
      <c r="I46">
        <v>0</v>
      </c>
      <c r="J46" s="22" t="s">
        <v>40</v>
      </c>
      <c r="K46" s="22" t="s">
        <v>26</v>
      </c>
      <c r="L46" s="21">
        <v>45597</v>
      </c>
      <c r="M46">
        <v>11</v>
      </c>
      <c r="N46">
        <v>2024</v>
      </c>
      <c r="O46">
        <v>17</v>
      </c>
      <c r="P46">
        <v>100.30000000000001</v>
      </c>
    </row>
    <row r="47" spans="1:16" x14ac:dyDescent="0.25">
      <c r="A47">
        <v>31</v>
      </c>
      <c r="B47" s="21">
        <v>45603</v>
      </c>
      <c r="C47" t="s">
        <v>340</v>
      </c>
      <c r="D47" s="22" t="s">
        <v>132</v>
      </c>
      <c r="E47" s="22" t="s">
        <v>61</v>
      </c>
      <c r="F47" s="22" t="s">
        <v>343</v>
      </c>
      <c r="G47">
        <v>4.2</v>
      </c>
      <c r="H47" t="s">
        <v>342</v>
      </c>
      <c r="I47">
        <v>0</v>
      </c>
      <c r="J47" s="22" t="s">
        <v>45</v>
      </c>
      <c r="K47" s="22" t="s">
        <v>26</v>
      </c>
      <c r="L47" s="21">
        <v>45597</v>
      </c>
      <c r="M47">
        <v>11</v>
      </c>
      <c r="N47">
        <v>2024</v>
      </c>
      <c r="O47">
        <v>5</v>
      </c>
      <c r="P47">
        <v>21</v>
      </c>
    </row>
    <row r="48" spans="1:16" x14ac:dyDescent="0.25">
      <c r="A48">
        <v>167</v>
      </c>
      <c r="B48" s="21">
        <v>45602</v>
      </c>
      <c r="C48" t="s">
        <v>340</v>
      </c>
      <c r="D48" s="22" t="s">
        <v>118</v>
      </c>
      <c r="E48" s="22" t="s">
        <v>16</v>
      </c>
      <c r="F48" s="22" t="s">
        <v>119</v>
      </c>
      <c r="G48">
        <v>2.5</v>
      </c>
      <c r="H48" t="s">
        <v>342</v>
      </c>
      <c r="I48">
        <v>6.5</v>
      </c>
      <c r="J48" s="22" t="s">
        <v>45</v>
      </c>
      <c r="K48" s="22" t="s">
        <v>26</v>
      </c>
      <c r="L48" s="21">
        <v>45597</v>
      </c>
      <c r="M48">
        <v>11</v>
      </c>
      <c r="N48">
        <v>2024</v>
      </c>
      <c r="O48">
        <v>23</v>
      </c>
      <c r="P48">
        <v>58.5</v>
      </c>
    </row>
    <row r="49" spans="1:16" x14ac:dyDescent="0.25">
      <c r="A49">
        <v>134</v>
      </c>
      <c r="B49" s="21">
        <v>45602</v>
      </c>
      <c r="C49" t="s">
        <v>340</v>
      </c>
      <c r="D49" s="22" t="s">
        <v>103</v>
      </c>
      <c r="E49" s="22" t="s">
        <v>35</v>
      </c>
      <c r="F49" s="22" t="s">
        <v>95</v>
      </c>
      <c r="G49">
        <v>54.9</v>
      </c>
      <c r="H49" t="s">
        <v>342</v>
      </c>
      <c r="I49">
        <v>0</v>
      </c>
      <c r="J49" s="22" t="s">
        <v>45</v>
      </c>
      <c r="K49" s="22" t="s">
        <v>19</v>
      </c>
      <c r="L49" s="21">
        <v>45597</v>
      </c>
      <c r="M49">
        <v>11</v>
      </c>
      <c r="N49">
        <v>2024</v>
      </c>
      <c r="O49">
        <v>23</v>
      </c>
      <c r="P49">
        <v>1262.7</v>
      </c>
    </row>
    <row r="50" spans="1:16" x14ac:dyDescent="0.25">
      <c r="A50">
        <v>182</v>
      </c>
      <c r="B50" s="21">
        <v>45601</v>
      </c>
      <c r="C50" t="s">
        <v>340</v>
      </c>
      <c r="D50" s="22" t="s">
        <v>60</v>
      </c>
      <c r="E50" s="22" t="s">
        <v>61</v>
      </c>
      <c r="F50" s="22" t="s">
        <v>62</v>
      </c>
      <c r="G50">
        <v>12.9</v>
      </c>
      <c r="H50" t="s">
        <v>342</v>
      </c>
      <c r="I50">
        <v>0</v>
      </c>
      <c r="J50" s="22" t="s">
        <v>45</v>
      </c>
      <c r="K50" s="22" t="s">
        <v>26</v>
      </c>
      <c r="L50" s="21">
        <v>45597</v>
      </c>
      <c r="M50">
        <v>11</v>
      </c>
      <c r="N50">
        <v>2024</v>
      </c>
      <c r="O50">
        <v>1</v>
      </c>
      <c r="P50">
        <v>12.9</v>
      </c>
    </row>
    <row r="51" spans="1:16" x14ac:dyDescent="0.25">
      <c r="A51">
        <v>72</v>
      </c>
      <c r="B51" s="21">
        <v>45601</v>
      </c>
      <c r="C51" t="s">
        <v>340</v>
      </c>
      <c r="D51" s="22" t="s">
        <v>91</v>
      </c>
      <c r="E51" s="22" t="s">
        <v>61</v>
      </c>
      <c r="F51" s="22" t="s">
        <v>343</v>
      </c>
      <c r="G51">
        <v>4.5</v>
      </c>
      <c r="H51" t="s">
        <v>342</v>
      </c>
      <c r="I51">
        <v>0</v>
      </c>
      <c r="J51" s="22" t="s">
        <v>45</v>
      </c>
      <c r="K51" s="22" t="s">
        <v>26</v>
      </c>
      <c r="L51" s="21">
        <v>45597</v>
      </c>
      <c r="M51">
        <v>11</v>
      </c>
      <c r="N51">
        <v>2024</v>
      </c>
      <c r="O51">
        <v>23</v>
      </c>
      <c r="P51">
        <v>103.5</v>
      </c>
    </row>
    <row r="52" spans="1:16" x14ac:dyDescent="0.25">
      <c r="A52">
        <v>268</v>
      </c>
      <c r="B52" s="21">
        <v>45601</v>
      </c>
      <c r="C52" t="s">
        <v>340</v>
      </c>
      <c r="D52" s="22" t="s">
        <v>108</v>
      </c>
      <c r="E52" s="22" t="s">
        <v>68</v>
      </c>
      <c r="F52" s="22" t="s">
        <v>49</v>
      </c>
      <c r="G52">
        <v>24.9</v>
      </c>
      <c r="H52" t="s">
        <v>344</v>
      </c>
      <c r="I52">
        <v>0</v>
      </c>
      <c r="J52" s="22" t="s">
        <v>40</v>
      </c>
      <c r="K52" s="22" t="s">
        <v>26</v>
      </c>
      <c r="L52" s="21">
        <v>45597</v>
      </c>
      <c r="M52">
        <v>11</v>
      </c>
      <c r="N52">
        <v>2024</v>
      </c>
      <c r="O52">
        <v>4</v>
      </c>
      <c r="P52">
        <v>99.6</v>
      </c>
    </row>
    <row r="53" spans="1:16" x14ac:dyDescent="0.25">
      <c r="A53">
        <v>9</v>
      </c>
      <c r="B53" s="21">
        <v>45601</v>
      </c>
      <c r="C53" t="s">
        <v>340</v>
      </c>
      <c r="D53" s="22" t="s">
        <v>60</v>
      </c>
      <c r="E53" s="22" t="s">
        <v>61</v>
      </c>
      <c r="F53" s="22" t="s">
        <v>62</v>
      </c>
      <c r="G53">
        <v>12.9</v>
      </c>
      <c r="H53" t="s">
        <v>342</v>
      </c>
      <c r="I53">
        <v>0</v>
      </c>
      <c r="J53" s="22" t="s">
        <v>40</v>
      </c>
      <c r="K53" s="22" t="s">
        <v>19</v>
      </c>
      <c r="L53" s="21">
        <v>45597</v>
      </c>
      <c r="M53">
        <v>11</v>
      </c>
      <c r="N53">
        <v>2024</v>
      </c>
      <c r="O53">
        <v>26</v>
      </c>
      <c r="P53">
        <v>335.40000000000003</v>
      </c>
    </row>
    <row r="54" spans="1:16" x14ac:dyDescent="0.25">
      <c r="A54">
        <v>181</v>
      </c>
      <c r="B54" s="21">
        <v>45598</v>
      </c>
      <c r="C54" t="s">
        <v>340</v>
      </c>
      <c r="D54" s="22" t="s">
        <v>64</v>
      </c>
      <c r="E54" s="22" t="s">
        <v>23</v>
      </c>
      <c r="F54" s="22" t="s">
        <v>24</v>
      </c>
      <c r="G54">
        <v>9.1999999999999993</v>
      </c>
      <c r="H54" t="s">
        <v>342</v>
      </c>
      <c r="I54">
        <v>13.34</v>
      </c>
      <c r="J54" s="22" t="s">
        <v>40</v>
      </c>
      <c r="K54" s="22" t="s">
        <v>19</v>
      </c>
      <c r="L54" s="21">
        <v>45597</v>
      </c>
      <c r="M54">
        <v>11</v>
      </c>
      <c r="N54">
        <v>2024</v>
      </c>
      <c r="O54">
        <v>27</v>
      </c>
      <c r="P54">
        <v>253.45999999999998</v>
      </c>
    </row>
    <row r="55" spans="1:16" x14ac:dyDescent="0.25">
      <c r="A55">
        <v>178</v>
      </c>
      <c r="B55" s="21">
        <v>45596</v>
      </c>
      <c r="C55" t="s">
        <v>340</v>
      </c>
      <c r="D55" s="22" t="s">
        <v>103</v>
      </c>
      <c r="E55" s="22" t="s">
        <v>35</v>
      </c>
      <c r="F55" s="22" t="s">
        <v>95</v>
      </c>
      <c r="G55">
        <v>54.9</v>
      </c>
      <c r="H55" t="s">
        <v>342</v>
      </c>
      <c r="I55">
        <v>148.22999999999999</v>
      </c>
      <c r="J55" s="22" t="s">
        <v>31</v>
      </c>
      <c r="K55" s="22" t="s">
        <v>19</v>
      </c>
      <c r="L55" s="21">
        <v>45566</v>
      </c>
      <c r="M55">
        <v>10</v>
      </c>
      <c r="N55">
        <v>2024</v>
      </c>
      <c r="O55">
        <v>24</v>
      </c>
      <c r="P55">
        <v>1334.07</v>
      </c>
    </row>
    <row r="56" spans="1:16" x14ac:dyDescent="0.25">
      <c r="A56">
        <v>60</v>
      </c>
      <c r="B56" s="21">
        <v>45596</v>
      </c>
      <c r="C56" t="s">
        <v>340</v>
      </c>
      <c r="D56" s="22" t="s">
        <v>184</v>
      </c>
      <c r="E56" s="22" t="s">
        <v>23</v>
      </c>
      <c r="F56" s="22" t="s">
        <v>185</v>
      </c>
      <c r="G56">
        <v>4.9000000000000004</v>
      </c>
      <c r="H56" t="s">
        <v>342</v>
      </c>
      <c r="I56">
        <v>0</v>
      </c>
      <c r="J56" s="22" t="s">
        <v>18</v>
      </c>
      <c r="K56" s="22" t="s">
        <v>32</v>
      </c>
      <c r="L56" s="21">
        <v>45566</v>
      </c>
      <c r="M56">
        <v>10</v>
      </c>
      <c r="N56">
        <v>2024</v>
      </c>
      <c r="O56">
        <v>22</v>
      </c>
      <c r="P56">
        <v>107.80000000000001</v>
      </c>
    </row>
    <row r="57" spans="1:16" x14ac:dyDescent="0.25">
      <c r="A57">
        <v>125</v>
      </c>
      <c r="B57" s="21">
        <v>45595</v>
      </c>
      <c r="C57" t="s">
        <v>340</v>
      </c>
      <c r="D57" s="22" t="s">
        <v>73</v>
      </c>
      <c r="E57" s="22" t="s">
        <v>74</v>
      </c>
      <c r="F57" s="22" t="s">
        <v>17</v>
      </c>
      <c r="G57">
        <v>2.9</v>
      </c>
      <c r="H57" t="s">
        <v>342</v>
      </c>
      <c r="I57">
        <v>0</v>
      </c>
      <c r="J57" s="22" t="s">
        <v>25</v>
      </c>
      <c r="K57" s="22" t="s">
        <v>26</v>
      </c>
      <c r="L57" s="21">
        <v>45566</v>
      </c>
      <c r="M57">
        <v>10</v>
      </c>
      <c r="N57">
        <v>2024</v>
      </c>
      <c r="O57">
        <v>22</v>
      </c>
      <c r="P57">
        <v>63.8</v>
      </c>
    </row>
    <row r="58" spans="1:16" x14ac:dyDescent="0.25">
      <c r="A58">
        <v>144</v>
      </c>
      <c r="B58" s="21">
        <v>45595</v>
      </c>
      <c r="C58" t="s">
        <v>340</v>
      </c>
      <c r="D58" s="22" t="s">
        <v>96</v>
      </c>
      <c r="E58" s="22" t="s">
        <v>61</v>
      </c>
      <c r="F58" s="22" t="s">
        <v>62</v>
      </c>
      <c r="G58">
        <v>9.9</v>
      </c>
      <c r="H58" t="s">
        <v>342</v>
      </c>
      <c r="I58">
        <v>0</v>
      </c>
      <c r="J58" s="22" t="s">
        <v>25</v>
      </c>
      <c r="K58" s="22" t="s">
        <v>19</v>
      </c>
      <c r="L58" s="21">
        <v>45566</v>
      </c>
      <c r="M58">
        <v>10</v>
      </c>
      <c r="N58">
        <v>2024</v>
      </c>
      <c r="O58">
        <v>11</v>
      </c>
      <c r="P58">
        <v>108.9</v>
      </c>
    </row>
    <row r="59" spans="1:16" x14ac:dyDescent="0.25">
      <c r="A59">
        <v>292</v>
      </c>
      <c r="B59" s="21">
        <v>45595</v>
      </c>
      <c r="C59" t="s">
        <v>340</v>
      </c>
      <c r="D59" s="22" t="s">
        <v>70</v>
      </c>
      <c r="E59" s="22" t="s">
        <v>56</v>
      </c>
      <c r="F59" s="22" t="s">
        <v>57</v>
      </c>
      <c r="G59">
        <v>32.9</v>
      </c>
      <c r="H59" t="s">
        <v>342</v>
      </c>
      <c r="I59">
        <v>0</v>
      </c>
      <c r="J59" s="22" t="s">
        <v>25</v>
      </c>
      <c r="K59" s="22" t="s">
        <v>32</v>
      </c>
      <c r="L59" s="21">
        <v>45566</v>
      </c>
      <c r="M59">
        <v>10</v>
      </c>
      <c r="N59">
        <v>2024</v>
      </c>
      <c r="O59">
        <v>17</v>
      </c>
      <c r="P59">
        <v>559.29999999999995</v>
      </c>
    </row>
    <row r="60" spans="1:16" x14ac:dyDescent="0.25">
      <c r="A60">
        <v>6</v>
      </c>
      <c r="B60" s="21">
        <v>45593</v>
      </c>
      <c r="C60" t="s">
        <v>340</v>
      </c>
      <c r="D60" s="22" t="s">
        <v>96</v>
      </c>
      <c r="E60" s="22" t="s">
        <v>61</v>
      </c>
      <c r="F60" s="22" t="s">
        <v>62</v>
      </c>
      <c r="G60">
        <v>9.9</v>
      </c>
      <c r="H60" t="s">
        <v>342</v>
      </c>
      <c r="I60">
        <v>0</v>
      </c>
      <c r="J60" s="22" t="s">
        <v>45</v>
      </c>
      <c r="K60" s="22" t="s">
        <v>26</v>
      </c>
      <c r="L60" s="21">
        <v>45566</v>
      </c>
      <c r="M60">
        <v>10</v>
      </c>
      <c r="N60">
        <v>2024</v>
      </c>
      <c r="O60">
        <v>26</v>
      </c>
      <c r="P60">
        <v>257.40000000000003</v>
      </c>
    </row>
    <row r="61" spans="1:16" x14ac:dyDescent="0.25">
      <c r="A61">
        <v>158</v>
      </c>
      <c r="B61" s="21">
        <v>45593</v>
      </c>
      <c r="C61" t="s">
        <v>340</v>
      </c>
      <c r="D61" s="22" t="s">
        <v>94</v>
      </c>
      <c r="E61" s="22" t="s">
        <v>35</v>
      </c>
      <c r="F61" s="22" t="s">
        <v>95</v>
      </c>
      <c r="G61">
        <v>19.899999999999999</v>
      </c>
      <c r="H61" t="s">
        <v>342</v>
      </c>
      <c r="I61">
        <v>33.83</v>
      </c>
      <c r="J61" s="22" t="s">
        <v>31</v>
      </c>
      <c r="K61" s="22" t="s">
        <v>32</v>
      </c>
      <c r="L61" s="21">
        <v>45566</v>
      </c>
      <c r="M61">
        <v>10</v>
      </c>
      <c r="N61">
        <v>2024</v>
      </c>
      <c r="O61">
        <v>15</v>
      </c>
      <c r="P61">
        <v>304.46999999999997</v>
      </c>
    </row>
    <row r="62" spans="1:16" x14ac:dyDescent="0.25">
      <c r="A62">
        <v>185</v>
      </c>
      <c r="B62" s="21">
        <v>45591</v>
      </c>
      <c r="C62" t="s">
        <v>340</v>
      </c>
      <c r="D62" s="22" t="s">
        <v>108</v>
      </c>
      <c r="E62" s="22" t="s">
        <v>68</v>
      </c>
      <c r="F62" s="22" t="s">
        <v>49</v>
      </c>
      <c r="G62">
        <v>24.9</v>
      </c>
      <c r="H62" t="s">
        <v>342</v>
      </c>
      <c r="I62">
        <v>26.15</v>
      </c>
      <c r="J62" s="22" t="s">
        <v>25</v>
      </c>
      <c r="K62" s="22" t="s">
        <v>19</v>
      </c>
      <c r="L62" s="21">
        <v>45566</v>
      </c>
      <c r="M62">
        <v>10</v>
      </c>
      <c r="N62">
        <v>2024</v>
      </c>
      <c r="O62">
        <v>19</v>
      </c>
      <c r="P62">
        <v>496.75499999999994</v>
      </c>
    </row>
    <row r="63" spans="1:16" x14ac:dyDescent="0.25">
      <c r="A63">
        <v>153</v>
      </c>
      <c r="B63" s="21">
        <v>45589</v>
      </c>
      <c r="C63" t="s">
        <v>340</v>
      </c>
      <c r="D63" s="22" t="s">
        <v>79</v>
      </c>
      <c r="E63" s="22" t="s">
        <v>29</v>
      </c>
      <c r="F63" s="22" t="s">
        <v>80</v>
      </c>
      <c r="G63">
        <v>7.9</v>
      </c>
      <c r="H63" t="s">
        <v>342</v>
      </c>
      <c r="I63">
        <v>12.64</v>
      </c>
      <c r="J63" s="22" t="s">
        <v>50</v>
      </c>
      <c r="K63" s="22" t="s">
        <v>19</v>
      </c>
      <c r="L63" s="21">
        <v>45566</v>
      </c>
      <c r="M63">
        <v>10</v>
      </c>
      <c r="N63">
        <v>2024</v>
      </c>
      <c r="O63">
        <v>14</v>
      </c>
      <c r="P63">
        <v>113.76</v>
      </c>
    </row>
    <row r="64" spans="1:16" x14ac:dyDescent="0.25">
      <c r="A64">
        <v>89</v>
      </c>
      <c r="B64" s="21">
        <v>45589</v>
      </c>
      <c r="C64" t="s">
        <v>340</v>
      </c>
      <c r="D64" s="22" t="s">
        <v>60</v>
      </c>
      <c r="E64" s="22" t="s">
        <v>61</v>
      </c>
      <c r="F64" s="22" t="s">
        <v>62</v>
      </c>
      <c r="G64">
        <v>12.9</v>
      </c>
      <c r="H64" t="s">
        <v>342</v>
      </c>
      <c r="I64">
        <v>0</v>
      </c>
      <c r="J64" s="22" t="s">
        <v>50</v>
      </c>
      <c r="K64" s="22" t="s">
        <v>19</v>
      </c>
      <c r="L64" s="21">
        <v>45566</v>
      </c>
      <c r="M64">
        <v>10</v>
      </c>
      <c r="N64">
        <v>2024</v>
      </c>
      <c r="O64">
        <v>2</v>
      </c>
      <c r="P64">
        <v>25.8</v>
      </c>
    </row>
    <row r="65" spans="1:16" x14ac:dyDescent="0.25">
      <c r="A65">
        <v>233</v>
      </c>
      <c r="B65" s="21">
        <v>45588</v>
      </c>
      <c r="C65" t="s">
        <v>340</v>
      </c>
      <c r="D65" s="22" t="s">
        <v>79</v>
      </c>
      <c r="E65" s="22" t="s">
        <v>29</v>
      </c>
      <c r="F65" s="22" t="s">
        <v>80</v>
      </c>
      <c r="G65">
        <v>7.9</v>
      </c>
      <c r="H65" t="s">
        <v>342</v>
      </c>
      <c r="I65">
        <v>0</v>
      </c>
      <c r="J65" s="22" t="s">
        <v>25</v>
      </c>
      <c r="K65" s="22" t="s">
        <v>19</v>
      </c>
      <c r="L65" s="21">
        <v>45566</v>
      </c>
      <c r="M65">
        <v>10</v>
      </c>
      <c r="N65">
        <v>2024</v>
      </c>
      <c r="O65">
        <v>24</v>
      </c>
      <c r="P65">
        <v>189.60000000000002</v>
      </c>
    </row>
    <row r="66" spans="1:16" x14ac:dyDescent="0.25">
      <c r="A66">
        <v>57</v>
      </c>
      <c r="B66" s="21">
        <v>45588</v>
      </c>
      <c r="C66" t="s">
        <v>340</v>
      </c>
      <c r="D66" s="22" t="s">
        <v>103</v>
      </c>
      <c r="E66" s="22" t="s">
        <v>35</v>
      </c>
      <c r="F66" s="22" t="s">
        <v>95</v>
      </c>
      <c r="G66">
        <v>54.9</v>
      </c>
      <c r="H66" t="s">
        <v>342</v>
      </c>
      <c r="I66">
        <v>0</v>
      </c>
      <c r="J66" s="22" t="s">
        <v>40</v>
      </c>
      <c r="K66" s="22" t="s">
        <v>19</v>
      </c>
      <c r="L66" s="21">
        <v>45566</v>
      </c>
      <c r="M66">
        <v>10</v>
      </c>
      <c r="N66">
        <v>2024</v>
      </c>
      <c r="O66">
        <v>18</v>
      </c>
      <c r="P66">
        <v>988.19999999999993</v>
      </c>
    </row>
    <row r="67" spans="1:16" x14ac:dyDescent="0.25">
      <c r="A67">
        <v>45</v>
      </c>
      <c r="B67" s="21">
        <v>45587</v>
      </c>
      <c r="C67" t="s">
        <v>340</v>
      </c>
      <c r="D67" s="22" t="s">
        <v>172</v>
      </c>
      <c r="E67" s="22" t="s">
        <v>56</v>
      </c>
      <c r="F67" s="22" t="s">
        <v>57</v>
      </c>
      <c r="G67">
        <v>89.9</v>
      </c>
      <c r="H67" t="s">
        <v>342</v>
      </c>
      <c r="I67">
        <v>35.96</v>
      </c>
      <c r="J67" s="22" t="s">
        <v>18</v>
      </c>
      <c r="K67" s="22" t="s">
        <v>32</v>
      </c>
      <c r="L67" s="21">
        <v>45566</v>
      </c>
      <c r="M67">
        <v>10</v>
      </c>
      <c r="N67">
        <v>2024</v>
      </c>
      <c r="O67">
        <v>7</v>
      </c>
      <c r="P67">
        <v>683.24</v>
      </c>
    </row>
    <row r="68" spans="1:16" x14ac:dyDescent="0.25">
      <c r="A68">
        <v>183</v>
      </c>
      <c r="B68" s="21">
        <v>45586</v>
      </c>
      <c r="C68" t="s">
        <v>340</v>
      </c>
      <c r="D68" s="22" t="s">
        <v>147</v>
      </c>
      <c r="E68" s="22" t="s">
        <v>74</v>
      </c>
      <c r="F68" s="22" t="s">
        <v>57</v>
      </c>
      <c r="G68">
        <v>4.5</v>
      </c>
      <c r="H68" t="s">
        <v>342</v>
      </c>
      <c r="I68">
        <v>0</v>
      </c>
      <c r="J68" s="22" t="s">
        <v>50</v>
      </c>
      <c r="K68" s="22" t="s">
        <v>32</v>
      </c>
      <c r="L68" s="21">
        <v>45566</v>
      </c>
      <c r="M68">
        <v>10</v>
      </c>
      <c r="N68">
        <v>2024</v>
      </c>
      <c r="O68">
        <v>1</v>
      </c>
      <c r="P68">
        <v>4.5</v>
      </c>
    </row>
    <row r="69" spans="1:16" x14ac:dyDescent="0.25">
      <c r="A69">
        <v>120</v>
      </c>
      <c r="B69" s="21">
        <v>45586</v>
      </c>
      <c r="C69" t="s">
        <v>340</v>
      </c>
      <c r="D69" s="22" t="s">
        <v>150</v>
      </c>
      <c r="E69" s="22" t="s">
        <v>29</v>
      </c>
      <c r="F69" s="22" t="s">
        <v>151</v>
      </c>
      <c r="G69">
        <v>11.9</v>
      </c>
      <c r="H69" t="s">
        <v>344</v>
      </c>
      <c r="I69">
        <v>0</v>
      </c>
      <c r="J69" s="22" t="s">
        <v>31</v>
      </c>
      <c r="K69" s="22" t="s">
        <v>19</v>
      </c>
      <c r="L69" s="21">
        <v>45566</v>
      </c>
      <c r="M69">
        <v>10</v>
      </c>
      <c r="N69">
        <v>2024</v>
      </c>
      <c r="O69">
        <v>16</v>
      </c>
      <c r="P69">
        <v>190.4</v>
      </c>
    </row>
    <row r="70" spans="1:16" x14ac:dyDescent="0.25">
      <c r="A70">
        <v>61</v>
      </c>
      <c r="B70" s="21">
        <v>45583</v>
      </c>
      <c r="C70" t="s">
        <v>340</v>
      </c>
      <c r="D70" s="22" t="s">
        <v>207</v>
      </c>
      <c r="E70" s="22" t="s">
        <v>61</v>
      </c>
      <c r="F70" s="22" t="s">
        <v>57</v>
      </c>
      <c r="G70">
        <v>32.9</v>
      </c>
      <c r="H70" t="s">
        <v>342</v>
      </c>
      <c r="I70">
        <v>62.51</v>
      </c>
      <c r="J70" s="22" t="s">
        <v>25</v>
      </c>
      <c r="K70" s="22" t="s">
        <v>26</v>
      </c>
      <c r="L70" s="21">
        <v>45566</v>
      </c>
      <c r="M70">
        <v>10</v>
      </c>
      <c r="N70">
        <v>2024</v>
      </c>
      <c r="O70">
        <v>17</v>
      </c>
      <c r="P70">
        <v>562.59</v>
      </c>
    </row>
    <row r="71" spans="1:16" x14ac:dyDescent="0.25">
      <c r="A71">
        <v>228</v>
      </c>
      <c r="B71" s="21">
        <v>45581</v>
      </c>
      <c r="C71" t="s">
        <v>340</v>
      </c>
      <c r="D71" s="22" t="s">
        <v>82</v>
      </c>
      <c r="E71" s="22" t="s">
        <v>35</v>
      </c>
      <c r="F71" s="22" t="s">
        <v>36</v>
      </c>
      <c r="G71">
        <v>14.9</v>
      </c>
      <c r="H71" t="s">
        <v>342</v>
      </c>
      <c r="I71">
        <v>0</v>
      </c>
      <c r="J71" s="22" t="s">
        <v>50</v>
      </c>
      <c r="K71" s="22" t="s">
        <v>26</v>
      </c>
      <c r="L71" s="21">
        <v>45566</v>
      </c>
      <c r="M71">
        <v>10</v>
      </c>
      <c r="N71">
        <v>2024</v>
      </c>
      <c r="O71">
        <v>25</v>
      </c>
      <c r="P71">
        <v>372.5</v>
      </c>
    </row>
    <row r="72" spans="1:16" x14ac:dyDescent="0.25">
      <c r="A72">
        <v>275</v>
      </c>
      <c r="B72" s="21">
        <v>45579</v>
      </c>
      <c r="C72" t="s">
        <v>340</v>
      </c>
      <c r="D72" s="22" t="s">
        <v>28</v>
      </c>
      <c r="E72" s="22" t="s">
        <v>29</v>
      </c>
      <c r="F72" s="22" t="s">
        <v>343</v>
      </c>
      <c r="G72">
        <v>5.9</v>
      </c>
      <c r="H72" t="s">
        <v>342</v>
      </c>
      <c r="I72">
        <v>0</v>
      </c>
      <c r="J72" s="22" t="s">
        <v>18</v>
      </c>
      <c r="K72" s="22" t="s">
        <v>19</v>
      </c>
      <c r="L72" s="21">
        <v>45566</v>
      </c>
      <c r="M72">
        <v>10</v>
      </c>
      <c r="N72">
        <v>2024</v>
      </c>
      <c r="O72">
        <v>22</v>
      </c>
      <c r="P72">
        <v>129.80000000000001</v>
      </c>
    </row>
    <row r="73" spans="1:16" x14ac:dyDescent="0.25">
      <c r="A73">
        <v>279</v>
      </c>
      <c r="B73" s="21">
        <v>45576</v>
      </c>
      <c r="C73" t="s">
        <v>340</v>
      </c>
      <c r="D73" s="22" t="s">
        <v>79</v>
      </c>
      <c r="E73" s="22" t="s">
        <v>29</v>
      </c>
      <c r="F73" s="22" t="s">
        <v>80</v>
      </c>
      <c r="G73">
        <v>7.9</v>
      </c>
      <c r="H73" t="s">
        <v>342</v>
      </c>
      <c r="I73">
        <v>0</v>
      </c>
      <c r="J73" s="22" t="s">
        <v>50</v>
      </c>
      <c r="K73" s="22" t="s">
        <v>32</v>
      </c>
      <c r="L73" s="21">
        <v>45566</v>
      </c>
      <c r="M73">
        <v>10</v>
      </c>
      <c r="N73">
        <v>2024</v>
      </c>
      <c r="O73">
        <v>4</v>
      </c>
      <c r="P73">
        <v>31.6</v>
      </c>
    </row>
    <row r="74" spans="1:16" x14ac:dyDescent="0.25">
      <c r="A74">
        <v>97</v>
      </c>
      <c r="B74" s="21">
        <v>45575</v>
      </c>
      <c r="C74" t="s">
        <v>340</v>
      </c>
      <c r="D74" s="22" t="s">
        <v>48</v>
      </c>
      <c r="E74" s="22" t="s">
        <v>23</v>
      </c>
      <c r="F74" s="22" t="s">
        <v>49</v>
      </c>
      <c r="G74">
        <v>18.899999999999999</v>
      </c>
      <c r="H74" t="s">
        <v>342</v>
      </c>
      <c r="I74">
        <v>6.61</v>
      </c>
      <c r="J74" s="22" t="s">
        <v>40</v>
      </c>
      <c r="K74" s="22" t="s">
        <v>19</v>
      </c>
      <c r="L74" s="21">
        <v>45566</v>
      </c>
      <c r="M74">
        <v>10</v>
      </c>
      <c r="N74">
        <v>2024</v>
      </c>
      <c r="O74">
        <v>6</v>
      </c>
      <c r="P74">
        <v>125.685</v>
      </c>
    </row>
    <row r="75" spans="1:16" x14ac:dyDescent="0.25">
      <c r="A75">
        <v>41</v>
      </c>
      <c r="B75" s="21">
        <v>45575</v>
      </c>
      <c r="C75" t="s">
        <v>340</v>
      </c>
      <c r="D75" s="22" t="s">
        <v>112</v>
      </c>
      <c r="E75" s="22" t="s">
        <v>61</v>
      </c>
      <c r="F75" s="22" t="s">
        <v>113</v>
      </c>
      <c r="G75">
        <v>4.9000000000000004</v>
      </c>
      <c r="H75" t="s">
        <v>342</v>
      </c>
      <c r="I75">
        <v>0</v>
      </c>
      <c r="J75" s="22" t="s">
        <v>25</v>
      </c>
      <c r="K75" s="22" t="s">
        <v>32</v>
      </c>
      <c r="L75" s="21">
        <v>45566</v>
      </c>
      <c r="M75">
        <v>10</v>
      </c>
      <c r="N75">
        <v>2024</v>
      </c>
      <c r="O75">
        <v>19</v>
      </c>
      <c r="P75">
        <v>93.100000000000009</v>
      </c>
    </row>
    <row r="76" spans="1:16" x14ac:dyDescent="0.25">
      <c r="A76">
        <v>255</v>
      </c>
      <c r="B76" s="21">
        <v>45575</v>
      </c>
      <c r="C76" t="s">
        <v>340</v>
      </c>
      <c r="D76" s="22" t="s">
        <v>91</v>
      </c>
      <c r="E76" s="22" t="s">
        <v>61</v>
      </c>
      <c r="F76" s="22" t="s">
        <v>343</v>
      </c>
      <c r="G76">
        <v>4.5</v>
      </c>
      <c r="H76" t="s">
        <v>342</v>
      </c>
      <c r="I76">
        <v>0</v>
      </c>
      <c r="J76" s="22" t="s">
        <v>45</v>
      </c>
      <c r="K76" s="22" t="s">
        <v>19</v>
      </c>
      <c r="L76" s="21">
        <v>45566</v>
      </c>
      <c r="M76">
        <v>10</v>
      </c>
      <c r="N76">
        <v>2024</v>
      </c>
      <c r="O76">
        <v>19</v>
      </c>
      <c r="P76">
        <v>85.5</v>
      </c>
    </row>
    <row r="77" spans="1:16" x14ac:dyDescent="0.25">
      <c r="A77">
        <v>269</v>
      </c>
      <c r="B77" s="21">
        <v>45574</v>
      </c>
      <c r="C77" t="s">
        <v>340</v>
      </c>
      <c r="D77" s="22" t="s">
        <v>159</v>
      </c>
      <c r="E77" s="22" t="s">
        <v>35</v>
      </c>
      <c r="F77" s="22" t="s">
        <v>137</v>
      </c>
      <c r="G77">
        <v>5.9</v>
      </c>
      <c r="H77" t="s">
        <v>342</v>
      </c>
      <c r="I77">
        <v>0</v>
      </c>
      <c r="J77" s="22" t="s">
        <v>18</v>
      </c>
      <c r="K77" s="22" t="s">
        <v>19</v>
      </c>
      <c r="L77" s="21">
        <v>45566</v>
      </c>
      <c r="M77">
        <v>10</v>
      </c>
      <c r="N77">
        <v>2024</v>
      </c>
      <c r="O77">
        <v>28</v>
      </c>
      <c r="P77">
        <v>165.20000000000002</v>
      </c>
    </row>
    <row r="78" spans="1:16" x14ac:dyDescent="0.25">
      <c r="A78">
        <v>193</v>
      </c>
      <c r="B78" s="21">
        <v>45573</v>
      </c>
      <c r="C78" t="s">
        <v>340</v>
      </c>
      <c r="D78" s="22" t="s">
        <v>48</v>
      </c>
      <c r="E78" s="22" t="s">
        <v>23</v>
      </c>
      <c r="F78" s="22" t="s">
        <v>49</v>
      </c>
      <c r="G78">
        <v>18.899999999999999</v>
      </c>
      <c r="H78" t="s">
        <v>342</v>
      </c>
      <c r="I78">
        <v>0</v>
      </c>
      <c r="J78" s="22" t="s">
        <v>18</v>
      </c>
      <c r="K78" s="22" t="s">
        <v>26</v>
      </c>
      <c r="L78" s="21">
        <v>45566</v>
      </c>
      <c r="M78">
        <v>10</v>
      </c>
      <c r="N78">
        <v>2024</v>
      </c>
      <c r="O78">
        <v>30</v>
      </c>
      <c r="P78">
        <v>567</v>
      </c>
    </row>
    <row r="79" spans="1:16" x14ac:dyDescent="0.25">
      <c r="A79">
        <v>257</v>
      </c>
      <c r="B79" s="21">
        <v>45568</v>
      </c>
      <c r="C79" t="s">
        <v>340</v>
      </c>
      <c r="D79" s="22" t="s">
        <v>60</v>
      </c>
      <c r="E79" s="22" t="s">
        <v>61</v>
      </c>
      <c r="F79" s="22" t="s">
        <v>62</v>
      </c>
      <c r="G79">
        <v>12.9</v>
      </c>
      <c r="H79" t="s">
        <v>342</v>
      </c>
      <c r="I79">
        <v>0</v>
      </c>
      <c r="J79" s="22" t="s">
        <v>25</v>
      </c>
      <c r="K79" s="22" t="s">
        <v>26</v>
      </c>
      <c r="L79" s="21">
        <v>45566</v>
      </c>
      <c r="M79">
        <v>10</v>
      </c>
      <c r="N79">
        <v>2024</v>
      </c>
      <c r="O79">
        <v>26</v>
      </c>
      <c r="P79">
        <v>335.40000000000003</v>
      </c>
    </row>
    <row r="80" spans="1:16" x14ac:dyDescent="0.25">
      <c r="A80">
        <v>235</v>
      </c>
      <c r="B80" s="21">
        <v>45568</v>
      </c>
      <c r="C80" t="s">
        <v>340</v>
      </c>
      <c r="D80" s="22" t="s">
        <v>79</v>
      </c>
      <c r="E80" s="22" t="s">
        <v>29</v>
      </c>
      <c r="F80" s="22" t="s">
        <v>80</v>
      </c>
      <c r="G80">
        <v>7.9</v>
      </c>
      <c r="H80" t="s">
        <v>342</v>
      </c>
      <c r="I80">
        <v>13.43</v>
      </c>
      <c r="J80" s="22" t="s">
        <v>31</v>
      </c>
      <c r="K80" s="22" t="s">
        <v>32</v>
      </c>
      <c r="L80" s="21">
        <v>45566</v>
      </c>
      <c r="M80">
        <v>10</v>
      </c>
      <c r="N80">
        <v>2024</v>
      </c>
      <c r="O80">
        <v>15</v>
      </c>
      <c r="P80">
        <v>120.87</v>
      </c>
    </row>
    <row r="81" spans="1:16" x14ac:dyDescent="0.25">
      <c r="A81">
        <v>22</v>
      </c>
      <c r="B81" s="21">
        <v>45567</v>
      </c>
      <c r="C81" t="s">
        <v>340</v>
      </c>
      <c r="D81" s="22" t="s">
        <v>60</v>
      </c>
      <c r="E81" s="22" t="s">
        <v>61</v>
      </c>
      <c r="F81" s="22" t="s">
        <v>62</v>
      </c>
      <c r="G81">
        <v>12.9</v>
      </c>
      <c r="H81" t="s">
        <v>342</v>
      </c>
      <c r="I81">
        <v>30.96</v>
      </c>
      <c r="J81" s="22" t="s">
        <v>18</v>
      </c>
      <c r="K81" s="22" t="s">
        <v>26</v>
      </c>
      <c r="L81" s="21">
        <v>45566</v>
      </c>
      <c r="M81">
        <v>10</v>
      </c>
      <c r="N81">
        <v>2024</v>
      </c>
      <c r="O81">
        <v>21</v>
      </c>
      <c r="P81">
        <v>278.64000000000004</v>
      </c>
    </row>
    <row r="82" spans="1:16" x14ac:dyDescent="0.25">
      <c r="A82">
        <v>88</v>
      </c>
      <c r="B82" s="21">
        <v>45566</v>
      </c>
      <c r="C82" t="s">
        <v>340</v>
      </c>
      <c r="D82" s="22" t="s">
        <v>28</v>
      </c>
      <c r="E82" s="22" t="s">
        <v>29</v>
      </c>
      <c r="F82" s="22" t="s">
        <v>343</v>
      </c>
      <c r="G82">
        <v>5.9</v>
      </c>
      <c r="H82" t="s">
        <v>342</v>
      </c>
      <c r="I82">
        <v>0</v>
      </c>
      <c r="J82" s="22" t="s">
        <v>31</v>
      </c>
      <c r="K82" s="22" t="s">
        <v>32</v>
      </c>
      <c r="L82" s="21">
        <v>45566</v>
      </c>
      <c r="M82">
        <v>10</v>
      </c>
      <c r="N82">
        <v>2024</v>
      </c>
      <c r="O82">
        <v>1</v>
      </c>
      <c r="P82">
        <v>5.9</v>
      </c>
    </row>
    <row r="83" spans="1:16" x14ac:dyDescent="0.25">
      <c r="A83">
        <v>10</v>
      </c>
      <c r="B83" s="21">
        <v>45566</v>
      </c>
      <c r="C83" t="s">
        <v>340</v>
      </c>
      <c r="D83" s="22" t="s">
        <v>22</v>
      </c>
      <c r="E83" s="22" t="s">
        <v>23</v>
      </c>
      <c r="F83" s="22" t="s">
        <v>24</v>
      </c>
      <c r="G83">
        <v>2.9</v>
      </c>
      <c r="H83" t="s">
        <v>342</v>
      </c>
      <c r="I83">
        <v>4.3499999999999996</v>
      </c>
      <c r="J83" s="22" t="s">
        <v>25</v>
      </c>
      <c r="K83" s="22" t="s">
        <v>26</v>
      </c>
      <c r="L83" s="21">
        <v>45566</v>
      </c>
      <c r="M83">
        <v>10</v>
      </c>
      <c r="N83">
        <v>2024</v>
      </c>
      <c r="O83">
        <v>28</v>
      </c>
      <c r="P83">
        <v>82.649999999999991</v>
      </c>
    </row>
    <row r="84" spans="1:16" x14ac:dyDescent="0.25">
      <c r="A84">
        <v>111</v>
      </c>
      <c r="B84" s="21">
        <v>45563</v>
      </c>
      <c r="C84" t="s">
        <v>340</v>
      </c>
      <c r="D84" s="22" t="s">
        <v>128</v>
      </c>
      <c r="E84" s="22" t="s">
        <v>74</v>
      </c>
      <c r="F84" s="22" t="s">
        <v>57</v>
      </c>
      <c r="G84">
        <v>5.9</v>
      </c>
      <c r="H84" t="s">
        <v>342</v>
      </c>
      <c r="I84">
        <v>0</v>
      </c>
      <c r="J84" s="22" t="s">
        <v>18</v>
      </c>
      <c r="K84" s="22" t="s">
        <v>26</v>
      </c>
      <c r="L84" s="21">
        <v>45536</v>
      </c>
      <c r="M84">
        <v>9</v>
      </c>
      <c r="N84">
        <v>2024</v>
      </c>
      <c r="O84">
        <v>20</v>
      </c>
      <c r="P84">
        <v>118</v>
      </c>
    </row>
    <row r="85" spans="1:16" x14ac:dyDescent="0.25">
      <c r="A85">
        <v>32</v>
      </c>
      <c r="B85" s="21">
        <v>45563</v>
      </c>
      <c r="C85" t="s">
        <v>340</v>
      </c>
      <c r="D85" s="22" t="s">
        <v>43</v>
      </c>
      <c r="E85" s="22" t="s">
        <v>23</v>
      </c>
      <c r="F85" s="22" t="s">
        <v>44</v>
      </c>
      <c r="G85">
        <v>12.9</v>
      </c>
      <c r="H85" t="s">
        <v>342</v>
      </c>
      <c r="I85">
        <v>0</v>
      </c>
      <c r="J85" s="22" t="s">
        <v>18</v>
      </c>
      <c r="K85" s="22" t="s">
        <v>32</v>
      </c>
      <c r="L85" s="21">
        <v>45536</v>
      </c>
      <c r="M85">
        <v>9</v>
      </c>
      <c r="N85">
        <v>2024</v>
      </c>
      <c r="O85">
        <v>20</v>
      </c>
      <c r="P85">
        <v>258</v>
      </c>
    </row>
    <row r="86" spans="1:16" x14ac:dyDescent="0.25">
      <c r="A86">
        <v>114</v>
      </c>
      <c r="B86" s="21">
        <v>45558</v>
      </c>
      <c r="C86" t="s">
        <v>340</v>
      </c>
      <c r="D86" s="22" t="s">
        <v>70</v>
      </c>
      <c r="E86" s="22" t="s">
        <v>56</v>
      </c>
      <c r="F86" s="22" t="s">
        <v>57</v>
      </c>
      <c r="G86">
        <v>32.9</v>
      </c>
      <c r="H86" t="s">
        <v>342</v>
      </c>
      <c r="I86">
        <v>0</v>
      </c>
      <c r="J86" s="22" t="s">
        <v>31</v>
      </c>
      <c r="K86" s="22" t="s">
        <v>19</v>
      </c>
      <c r="L86" s="21">
        <v>45536</v>
      </c>
      <c r="M86">
        <v>9</v>
      </c>
      <c r="N86">
        <v>2024</v>
      </c>
      <c r="O86">
        <v>21</v>
      </c>
      <c r="P86">
        <v>690.9</v>
      </c>
    </row>
    <row r="87" spans="1:16" x14ac:dyDescent="0.25">
      <c r="A87">
        <v>149</v>
      </c>
      <c r="B87" s="21">
        <v>45556</v>
      </c>
      <c r="C87" t="s">
        <v>340</v>
      </c>
      <c r="D87" s="22" t="s">
        <v>132</v>
      </c>
      <c r="E87" s="22" t="s">
        <v>61</v>
      </c>
      <c r="F87" s="22" t="s">
        <v>343</v>
      </c>
      <c r="G87">
        <v>4.2</v>
      </c>
      <c r="H87" t="s">
        <v>342</v>
      </c>
      <c r="I87">
        <v>0</v>
      </c>
      <c r="J87" s="22" t="s">
        <v>40</v>
      </c>
      <c r="K87" s="22" t="s">
        <v>19</v>
      </c>
      <c r="L87" s="21">
        <v>45536</v>
      </c>
      <c r="M87">
        <v>9</v>
      </c>
      <c r="N87">
        <v>2024</v>
      </c>
      <c r="O87">
        <v>3</v>
      </c>
      <c r="P87">
        <v>12.600000000000001</v>
      </c>
    </row>
    <row r="88" spans="1:16" x14ac:dyDescent="0.25">
      <c r="A88">
        <v>102</v>
      </c>
      <c r="B88" s="21">
        <v>45553</v>
      </c>
      <c r="C88" t="s">
        <v>340</v>
      </c>
      <c r="D88" s="22" t="s">
        <v>172</v>
      </c>
      <c r="E88" s="22" t="s">
        <v>56</v>
      </c>
      <c r="F88" s="22" t="s">
        <v>57</v>
      </c>
      <c r="G88">
        <v>89.9</v>
      </c>
      <c r="H88" t="s">
        <v>342</v>
      </c>
      <c r="I88">
        <v>0</v>
      </c>
      <c r="J88" s="22" t="s">
        <v>40</v>
      </c>
      <c r="K88" s="22" t="s">
        <v>32</v>
      </c>
      <c r="L88" s="21">
        <v>45536</v>
      </c>
      <c r="M88">
        <v>9</v>
      </c>
      <c r="N88">
        <v>2024</v>
      </c>
      <c r="O88">
        <v>26</v>
      </c>
      <c r="P88">
        <v>2337.4</v>
      </c>
    </row>
    <row r="89" spans="1:16" x14ac:dyDescent="0.25">
      <c r="A89">
        <v>91</v>
      </c>
      <c r="B89" s="21">
        <v>45553</v>
      </c>
      <c r="C89" t="s">
        <v>340</v>
      </c>
      <c r="D89" s="22" t="s">
        <v>22</v>
      </c>
      <c r="E89" s="22" t="s">
        <v>23</v>
      </c>
      <c r="F89" s="22" t="s">
        <v>24</v>
      </c>
      <c r="G89">
        <v>2.9</v>
      </c>
      <c r="H89" t="s">
        <v>342</v>
      </c>
      <c r="I89">
        <v>3.77</v>
      </c>
      <c r="J89" s="22" t="s">
        <v>45</v>
      </c>
      <c r="K89" s="22" t="s">
        <v>19</v>
      </c>
      <c r="L89" s="21">
        <v>45536</v>
      </c>
      <c r="M89">
        <v>9</v>
      </c>
      <c r="N89">
        <v>2024</v>
      </c>
      <c r="O89">
        <v>11</v>
      </c>
      <c r="P89">
        <v>33.93</v>
      </c>
    </row>
    <row r="90" spans="1:16" x14ac:dyDescent="0.25">
      <c r="A90">
        <v>200</v>
      </c>
      <c r="B90" s="21">
        <v>45552</v>
      </c>
      <c r="C90" t="s">
        <v>340</v>
      </c>
      <c r="D90" s="22" t="s">
        <v>103</v>
      </c>
      <c r="E90" s="22" t="s">
        <v>35</v>
      </c>
      <c r="F90" s="22" t="s">
        <v>95</v>
      </c>
      <c r="G90">
        <v>54.9</v>
      </c>
      <c r="H90" t="s">
        <v>342</v>
      </c>
      <c r="I90">
        <v>0</v>
      </c>
      <c r="J90" s="22" t="s">
        <v>25</v>
      </c>
      <c r="K90" s="22" t="s">
        <v>19</v>
      </c>
      <c r="L90" s="21">
        <v>45536</v>
      </c>
      <c r="M90">
        <v>9</v>
      </c>
      <c r="N90">
        <v>2024</v>
      </c>
      <c r="O90">
        <v>29</v>
      </c>
      <c r="P90">
        <v>1592.1</v>
      </c>
    </row>
    <row r="91" spans="1:16" x14ac:dyDescent="0.25">
      <c r="A91">
        <v>30</v>
      </c>
      <c r="B91" s="21">
        <v>45551</v>
      </c>
      <c r="C91" t="s">
        <v>340</v>
      </c>
      <c r="D91" s="22" t="s">
        <v>217</v>
      </c>
      <c r="E91" s="22" t="s">
        <v>23</v>
      </c>
      <c r="F91" s="22" t="s">
        <v>24</v>
      </c>
      <c r="G91">
        <v>4.5</v>
      </c>
      <c r="H91" t="s">
        <v>342</v>
      </c>
      <c r="I91">
        <v>0</v>
      </c>
      <c r="J91" s="22" t="s">
        <v>40</v>
      </c>
      <c r="K91" s="22" t="s">
        <v>26</v>
      </c>
      <c r="L91" s="21">
        <v>45536</v>
      </c>
      <c r="M91">
        <v>9</v>
      </c>
      <c r="N91">
        <v>2024</v>
      </c>
      <c r="O91">
        <v>28</v>
      </c>
      <c r="P91">
        <v>126</v>
      </c>
    </row>
    <row r="92" spans="1:16" x14ac:dyDescent="0.25">
      <c r="A92">
        <v>4</v>
      </c>
      <c r="B92" s="21">
        <v>45550</v>
      </c>
      <c r="C92" t="s">
        <v>340</v>
      </c>
      <c r="D92" s="22" t="s">
        <v>118</v>
      </c>
      <c r="E92" s="22" t="s">
        <v>16</v>
      </c>
      <c r="F92" s="22" t="s">
        <v>119</v>
      </c>
      <c r="G92">
        <v>2.5</v>
      </c>
      <c r="H92" t="s">
        <v>342</v>
      </c>
      <c r="I92">
        <v>0.25</v>
      </c>
      <c r="J92" s="22" t="s">
        <v>45</v>
      </c>
      <c r="K92" s="22" t="s">
        <v>26</v>
      </c>
      <c r="L92" s="21">
        <v>45536</v>
      </c>
      <c r="M92">
        <v>9</v>
      </c>
      <c r="N92">
        <v>2024</v>
      </c>
      <c r="O92">
        <v>0</v>
      </c>
      <c r="P92">
        <v>2.25</v>
      </c>
    </row>
    <row r="93" spans="1:16" x14ac:dyDescent="0.25">
      <c r="A93">
        <v>112</v>
      </c>
      <c r="B93" s="21">
        <v>45550</v>
      </c>
      <c r="C93" t="s">
        <v>340</v>
      </c>
      <c r="D93" s="22" t="s">
        <v>108</v>
      </c>
      <c r="E93" s="22" t="s">
        <v>68</v>
      </c>
      <c r="F93" s="22" t="s">
        <v>49</v>
      </c>
      <c r="G93">
        <v>24.9</v>
      </c>
      <c r="H93" t="s">
        <v>342</v>
      </c>
      <c r="I93">
        <v>67.23</v>
      </c>
      <c r="J93" s="22" t="s">
        <v>18</v>
      </c>
      <c r="K93" s="22" t="s">
        <v>32</v>
      </c>
      <c r="L93" s="21">
        <v>45536</v>
      </c>
      <c r="M93">
        <v>9</v>
      </c>
      <c r="N93">
        <v>2024</v>
      </c>
      <c r="O93">
        <v>24</v>
      </c>
      <c r="P93">
        <v>605.06999999999994</v>
      </c>
    </row>
    <row r="94" spans="1:16" x14ac:dyDescent="0.25">
      <c r="A94">
        <v>229</v>
      </c>
      <c r="B94" s="21">
        <v>45546</v>
      </c>
      <c r="C94" t="s">
        <v>340</v>
      </c>
      <c r="D94" s="22" t="s">
        <v>154</v>
      </c>
      <c r="E94" s="22" t="s">
        <v>29</v>
      </c>
      <c r="F94" s="22" t="s">
        <v>345</v>
      </c>
      <c r="G94">
        <v>8.5</v>
      </c>
      <c r="H94" t="s">
        <v>342</v>
      </c>
      <c r="I94">
        <v>0</v>
      </c>
      <c r="J94" s="22" t="s">
        <v>50</v>
      </c>
      <c r="K94" s="22" t="s">
        <v>19</v>
      </c>
      <c r="L94" s="21">
        <v>45536</v>
      </c>
      <c r="M94">
        <v>9</v>
      </c>
      <c r="N94">
        <v>2024</v>
      </c>
      <c r="O94">
        <v>25</v>
      </c>
      <c r="P94">
        <v>212.5</v>
      </c>
    </row>
    <row r="95" spans="1:16" x14ac:dyDescent="0.25">
      <c r="A95">
        <v>203</v>
      </c>
      <c r="B95" s="21">
        <v>45542</v>
      </c>
      <c r="C95" t="s">
        <v>340</v>
      </c>
      <c r="D95" s="22" t="s">
        <v>115</v>
      </c>
      <c r="E95" s="22" t="s">
        <v>23</v>
      </c>
      <c r="F95" s="22" t="s">
        <v>116</v>
      </c>
      <c r="G95">
        <v>12.5</v>
      </c>
      <c r="H95" t="s">
        <v>342</v>
      </c>
      <c r="I95">
        <v>18.75</v>
      </c>
      <c r="J95" s="22" t="s">
        <v>18</v>
      </c>
      <c r="K95" s="22" t="s">
        <v>19</v>
      </c>
      <c r="L95" s="21">
        <v>45536</v>
      </c>
      <c r="M95">
        <v>9</v>
      </c>
      <c r="N95">
        <v>2024</v>
      </c>
      <c r="O95">
        <v>13</v>
      </c>
      <c r="P95">
        <v>168.75</v>
      </c>
    </row>
    <row r="96" spans="1:16" x14ac:dyDescent="0.25">
      <c r="A96">
        <v>150</v>
      </c>
      <c r="B96" s="21">
        <v>45542</v>
      </c>
      <c r="C96" t="s">
        <v>340</v>
      </c>
      <c r="D96" s="22" t="s">
        <v>128</v>
      </c>
      <c r="E96" s="22" t="s">
        <v>74</v>
      </c>
      <c r="F96" s="22" t="s">
        <v>57</v>
      </c>
      <c r="G96">
        <v>5.9</v>
      </c>
      <c r="H96" t="s">
        <v>342</v>
      </c>
      <c r="I96">
        <v>0</v>
      </c>
      <c r="J96" s="22" t="s">
        <v>40</v>
      </c>
      <c r="K96" s="22" t="s">
        <v>19</v>
      </c>
      <c r="L96" s="21">
        <v>45536</v>
      </c>
      <c r="M96">
        <v>9</v>
      </c>
      <c r="N96">
        <v>2024</v>
      </c>
      <c r="O96">
        <v>25</v>
      </c>
      <c r="P96">
        <v>147.5</v>
      </c>
    </row>
    <row r="97" spans="1:16" x14ac:dyDescent="0.25">
      <c r="A97">
        <v>122</v>
      </c>
      <c r="B97" s="21">
        <v>45541</v>
      </c>
      <c r="C97" t="s">
        <v>340</v>
      </c>
      <c r="D97" s="22" t="s">
        <v>112</v>
      </c>
      <c r="E97" s="22" t="s">
        <v>61</v>
      </c>
      <c r="F97" s="22" t="s">
        <v>113</v>
      </c>
      <c r="G97">
        <v>4.9000000000000004</v>
      </c>
      <c r="H97" t="s">
        <v>342</v>
      </c>
      <c r="I97">
        <v>2.21</v>
      </c>
      <c r="J97" s="22" t="s">
        <v>18</v>
      </c>
      <c r="K97" s="22" t="s">
        <v>32</v>
      </c>
      <c r="L97" s="21">
        <v>45536</v>
      </c>
      <c r="M97">
        <v>9</v>
      </c>
      <c r="N97">
        <v>2024</v>
      </c>
      <c r="O97">
        <v>8</v>
      </c>
      <c r="P97">
        <v>41.895000000000003</v>
      </c>
    </row>
    <row r="98" spans="1:16" x14ac:dyDescent="0.25">
      <c r="A98">
        <v>56</v>
      </c>
      <c r="B98" s="21">
        <v>45541</v>
      </c>
      <c r="C98" t="s">
        <v>340</v>
      </c>
      <c r="D98" s="22" t="s">
        <v>115</v>
      </c>
      <c r="E98" s="22" t="s">
        <v>23</v>
      </c>
      <c r="F98" s="22" t="s">
        <v>116</v>
      </c>
      <c r="G98">
        <v>12.5</v>
      </c>
      <c r="H98" t="s">
        <v>342</v>
      </c>
      <c r="I98">
        <v>0</v>
      </c>
      <c r="J98" s="22" t="s">
        <v>45</v>
      </c>
      <c r="K98" s="22" t="s">
        <v>32</v>
      </c>
      <c r="L98" s="21">
        <v>45536</v>
      </c>
      <c r="M98">
        <v>9</v>
      </c>
      <c r="N98">
        <v>2024</v>
      </c>
      <c r="O98">
        <v>7</v>
      </c>
      <c r="P98">
        <v>87.5</v>
      </c>
    </row>
    <row r="99" spans="1:16" x14ac:dyDescent="0.25">
      <c r="A99">
        <v>194</v>
      </c>
      <c r="B99" s="21">
        <v>45540</v>
      </c>
      <c r="C99" t="s">
        <v>340</v>
      </c>
      <c r="D99" s="22" t="s">
        <v>22</v>
      </c>
      <c r="E99" s="22" t="s">
        <v>23</v>
      </c>
      <c r="F99" s="22" t="s">
        <v>24</v>
      </c>
      <c r="G99">
        <v>2.9</v>
      </c>
      <c r="H99" t="s">
        <v>342</v>
      </c>
      <c r="I99">
        <v>0.28999999999999998</v>
      </c>
      <c r="J99" s="22" t="s">
        <v>45</v>
      </c>
      <c r="K99" s="22" t="s">
        <v>26</v>
      </c>
      <c r="L99" s="21">
        <v>45536</v>
      </c>
      <c r="M99">
        <v>9</v>
      </c>
      <c r="N99">
        <v>2024</v>
      </c>
      <c r="O99">
        <v>0</v>
      </c>
      <c r="P99">
        <v>2.61</v>
      </c>
    </row>
    <row r="100" spans="1:16" x14ac:dyDescent="0.25">
      <c r="A100">
        <v>44</v>
      </c>
      <c r="B100" s="21">
        <v>45540</v>
      </c>
      <c r="C100" t="s">
        <v>340</v>
      </c>
      <c r="D100" s="22" t="s">
        <v>91</v>
      </c>
      <c r="E100" s="22" t="s">
        <v>61</v>
      </c>
      <c r="F100" s="22" t="s">
        <v>343</v>
      </c>
      <c r="G100">
        <v>4.5</v>
      </c>
      <c r="H100" t="s">
        <v>342</v>
      </c>
      <c r="I100">
        <v>0</v>
      </c>
      <c r="J100" s="22" t="s">
        <v>40</v>
      </c>
      <c r="K100" s="22" t="s">
        <v>26</v>
      </c>
      <c r="L100" s="21">
        <v>45536</v>
      </c>
      <c r="M100">
        <v>9</v>
      </c>
      <c r="N100">
        <v>2024</v>
      </c>
      <c r="O100">
        <v>18</v>
      </c>
      <c r="P100">
        <v>81</v>
      </c>
    </row>
    <row r="101" spans="1:16" x14ac:dyDescent="0.25">
      <c r="A101">
        <v>36</v>
      </c>
      <c r="B101" s="21">
        <v>45535</v>
      </c>
      <c r="C101" t="s">
        <v>340</v>
      </c>
      <c r="D101" s="22" t="s">
        <v>128</v>
      </c>
      <c r="E101" s="22" t="s">
        <v>74</v>
      </c>
      <c r="F101" s="22" t="s">
        <v>57</v>
      </c>
      <c r="G101">
        <v>5.9</v>
      </c>
      <c r="H101" t="s">
        <v>342</v>
      </c>
      <c r="I101">
        <v>0</v>
      </c>
      <c r="J101" s="22" t="s">
        <v>50</v>
      </c>
      <c r="K101" s="22" t="s">
        <v>26</v>
      </c>
      <c r="L101" s="21">
        <v>45505</v>
      </c>
      <c r="M101">
        <v>8</v>
      </c>
      <c r="N101">
        <v>2024</v>
      </c>
      <c r="O101">
        <v>6</v>
      </c>
      <c r="P101">
        <v>35.400000000000006</v>
      </c>
    </row>
    <row r="102" spans="1:16" x14ac:dyDescent="0.25">
      <c r="A102">
        <v>113</v>
      </c>
      <c r="B102" s="21">
        <v>45535</v>
      </c>
      <c r="C102" t="s">
        <v>340</v>
      </c>
      <c r="D102" s="22" t="s">
        <v>139</v>
      </c>
      <c r="E102" s="22" t="s">
        <v>68</v>
      </c>
      <c r="F102" s="22" t="s">
        <v>17</v>
      </c>
      <c r="G102">
        <v>4.5</v>
      </c>
      <c r="H102" t="s">
        <v>342</v>
      </c>
      <c r="I102">
        <v>0</v>
      </c>
      <c r="J102" s="22" t="s">
        <v>40</v>
      </c>
      <c r="K102" s="22" t="s">
        <v>19</v>
      </c>
      <c r="L102" s="21">
        <v>45505</v>
      </c>
      <c r="M102">
        <v>8</v>
      </c>
      <c r="N102">
        <v>2024</v>
      </c>
      <c r="O102">
        <v>9</v>
      </c>
      <c r="P102">
        <v>40.5</v>
      </c>
    </row>
    <row r="103" spans="1:16" x14ac:dyDescent="0.25">
      <c r="A103">
        <v>173</v>
      </c>
      <c r="B103" s="21">
        <v>45532</v>
      </c>
      <c r="C103" t="s">
        <v>340</v>
      </c>
      <c r="D103" s="22" t="s">
        <v>154</v>
      </c>
      <c r="E103" s="22" t="s">
        <v>29</v>
      </c>
      <c r="F103" s="22" t="s">
        <v>345</v>
      </c>
      <c r="G103">
        <v>8.5</v>
      </c>
      <c r="H103" t="s">
        <v>344</v>
      </c>
      <c r="I103">
        <v>0</v>
      </c>
      <c r="J103" s="22" t="s">
        <v>31</v>
      </c>
      <c r="K103" s="22" t="s">
        <v>26</v>
      </c>
      <c r="L103" s="21">
        <v>45505</v>
      </c>
      <c r="M103">
        <v>8</v>
      </c>
      <c r="N103">
        <v>2024</v>
      </c>
      <c r="O103">
        <v>2</v>
      </c>
      <c r="P103">
        <v>17</v>
      </c>
    </row>
    <row r="104" spans="1:16" x14ac:dyDescent="0.25">
      <c r="A104">
        <v>124</v>
      </c>
      <c r="B104" s="21">
        <v>45531</v>
      </c>
      <c r="C104" t="s">
        <v>340</v>
      </c>
      <c r="D104" s="22" t="s">
        <v>48</v>
      </c>
      <c r="E104" s="22" t="s">
        <v>23</v>
      </c>
      <c r="F104" s="22" t="s">
        <v>49</v>
      </c>
      <c r="G104">
        <v>18.899999999999999</v>
      </c>
      <c r="H104" t="s">
        <v>342</v>
      </c>
      <c r="I104">
        <v>37.799999999999997</v>
      </c>
      <c r="J104" s="22" t="s">
        <v>25</v>
      </c>
      <c r="K104" s="22" t="s">
        <v>19</v>
      </c>
      <c r="L104" s="21">
        <v>45505</v>
      </c>
      <c r="M104">
        <v>8</v>
      </c>
      <c r="N104">
        <v>2024</v>
      </c>
      <c r="O104">
        <v>18</v>
      </c>
      <c r="P104">
        <v>340.2</v>
      </c>
    </row>
    <row r="105" spans="1:16" x14ac:dyDescent="0.25">
      <c r="A105">
        <v>133</v>
      </c>
      <c r="B105" s="21">
        <v>45530</v>
      </c>
      <c r="C105" t="s">
        <v>340</v>
      </c>
      <c r="D105" s="22" t="s">
        <v>34</v>
      </c>
      <c r="E105" s="22" t="s">
        <v>35</v>
      </c>
      <c r="F105" s="22" t="s">
        <v>36</v>
      </c>
      <c r="G105">
        <v>14.9</v>
      </c>
      <c r="H105" t="s">
        <v>342</v>
      </c>
      <c r="I105">
        <v>0</v>
      </c>
      <c r="J105" s="22" t="s">
        <v>45</v>
      </c>
      <c r="K105" s="22" t="s">
        <v>26</v>
      </c>
      <c r="L105" s="21">
        <v>45505</v>
      </c>
      <c r="M105">
        <v>8</v>
      </c>
      <c r="N105">
        <v>2024</v>
      </c>
      <c r="O105">
        <v>9</v>
      </c>
      <c r="P105">
        <v>134.1</v>
      </c>
    </row>
    <row r="106" spans="1:16" x14ac:dyDescent="0.25">
      <c r="A106">
        <v>221</v>
      </c>
      <c r="B106" s="21">
        <v>45528</v>
      </c>
      <c r="C106" t="s">
        <v>340</v>
      </c>
      <c r="D106" s="22" t="s">
        <v>39</v>
      </c>
      <c r="E106" s="22" t="s">
        <v>16</v>
      </c>
      <c r="F106" s="22" t="s">
        <v>343</v>
      </c>
      <c r="G106">
        <v>12.9</v>
      </c>
      <c r="H106" t="s">
        <v>342</v>
      </c>
      <c r="I106">
        <v>5.8</v>
      </c>
      <c r="J106" s="22" t="s">
        <v>31</v>
      </c>
      <c r="K106" s="22" t="s">
        <v>26</v>
      </c>
      <c r="L106" s="21">
        <v>45505</v>
      </c>
      <c r="M106">
        <v>8</v>
      </c>
      <c r="N106">
        <v>2024</v>
      </c>
      <c r="O106">
        <v>8</v>
      </c>
      <c r="P106">
        <v>110.29500000000002</v>
      </c>
    </row>
    <row r="107" spans="1:16" x14ac:dyDescent="0.25">
      <c r="A107">
        <v>199</v>
      </c>
      <c r="B107" s="21">
        <v>45525</v>
      </c>
      <c r="C107" t="s">
        <v>340</v>
      </c>
      <c r="D107" s="22" t="s">
        <v>128</v>
      </c>
      <c r="E107" s="22" t="s">
        <v>74</v>
      </c>
      <c r="F107" s="22" t="s">
        <v>57</v>
      </c>
      <c r="G107">
        <v>5.9</v>
      </c>
      <c r="H107" t="s">
        <v>342</v>
      </c>
      <c r="I107">
        <v>1.48</v>
      </c>
      <c r="J107" s="22" t="s">
        <v>45</v>
      </c>
      <c r="K107" s="22" t="s">
        <v>26</v>
      </c>
      <c r="L107" s="21">
        <v>45505</v>
      </c>
      <c r="M107">
        <v>8</v>
      </c>
      <c r="N107">
        <v>2024</v>
      </c>
      <c r="O107">
        <v>4</v>
      </c>
      <c r="P107">
        <v>28.025000000000002</v>
      </c>
    </row>
    <row r="108" spans="1:16" x14ac:dyDescent="0.25">
      <c r="A108">
        <v>106</v>
      </c>
      <c r="B108" s="21">
        <v>45525</v>
      </c>
      <c r="C108" t="s">
        <v>340</v>
      </c>
      <c r="D108" s="22" t="s">
        <v>134</v>
      </c>
      <c r="E108" s="22" t="s">
        <v>68</v>
      </c>
      <c r="F108" s="22" t="s">
        <v>17</v>
      </c>
      <c r="G108">
        <v>0.75</v>
      </c>
      <c r="H108" t="s">
        <v>342</v>
      </c>
      <c r="I108">
        <v>2.1800000000000002</v>
      </c>
      <c r="J108" s="22" t="s">
        <v>45</v>
      </c>
      <c r="K108" s="22" t="s">
        <v>26</v>
      </c>
      <c r="L108" s="21">
        <v>45505</v>
      </c>
      <c r="M108">
        <v>8</v>
      </c>
      <c r="N108">
        <v>2024</v>
      </c>
      <c r="O108">
        <v>26</v>
      </c>
      <c r="P108">
        <v>19.567499999999999</v>
      </c>
    </row>
    <row r="109" spans="1:16" x14ac:dyDescent="0.25">
      <c r="A109">
        <v>55</v>
      </c>
      <c r="B109" s="21">
        <v>45524</v>
      </c>
      <c r="C109" t="s">
        <v>340</v>
      </c>
      <c r="D109" s="22" t="s">
        <v>154</v>
      </c>
      <c r="E109" s="22" t="s">
        <v>29</v>
      </c>
      <c r="F109" s="22" t="s">
        <v>345</v>
      </c>
      <c r="G109">
        <v>8.5</v>
      </c>
      <c r="H109" t="s">
        <v>342</v>
      </c>
      <c r="I109">
        <v>11.9</v>
      </c>
      <c r="J109" s="22" t="s">
        <v>40</v>
      </c>
      <c r="K109" s="22" t="s">
        <v>26</v>
      </c>
      <c r="L109" s="21">
        <v>45505</v>
      </c>
      <c r="M109">
        <v>8</v>
      </c>
      <c r="N109">
        <v>2024</v>
      </c>
      <c r="O109">
        <v>12</v>
      </c>
      <c r="P109">
        <v>107.1</v>
      </c>
    </row>
    <row r="110" spans="1:16" x14ac:dyDescent="0.25">
      <c r="A110">
        <v>155</v>
      </c>
      <c r="B110" s="21">
        <v>45524</v>
      </c>
      <c r="C110" t="s">
        <v>340</v>
      </c>
      <c r="D110" s="22" t="s">
        <v>96</v>
      </c>
      <c r="E110" s="22" t="s">
        <v>61</v>
      </c>
      <c r="F110" s="22" t="s">
        <v>62</v>
      </c>
      <c r="G110">
        <v>9.9</v>
      </c>
      <c r="H110" t="s">
        <v>342</v>
      </c>
      <c r="I110">
        <v>0</v>
      </c>
      <c r="J110" s="22" t="s">
        <v>45</v>
      </c>
      <c r="K110" s="22" t="s">
        <v>32</v>
      </c>
      <c r="L110" s="21">
        <v>45505</v>
      </c>
      <c r="M110">
        <v>8</v>
      </c>
      <c r="N110">
        <v>2024</v>
      </c>
      <c r="O110">
        <v>10</v>
      </c>
      <c r="P110">
        <v>99</v>
      </c>
    </row>
    <row r="111" spans="1:16" x14ac:dyDescent="0.25">
      <c r="A111">
        <v>145</v>
      </c>
      <c r="B111" s="21">
        <v>45522</v>
      </c>
      <c r="C111" t="s">
        <v>340</v>
      </c>
      <c r="D111" s="22" t="s">
        <v>207</v>
      </c>
      <c r="E111" s="22" t="s">
        <v>61</v>
      </c>
      <c r="F111" s="22" t="s">
        <v>57</v>
      </c>
      <c r="G111">
        <v>32.9</v>
      </c>
      <c r="H111" t="s">
        <v>342</v>
      </c>
      <c r="I111">
        <v>41.12</v>
      </c>
      <c r="J111" s="22" t="s">
        <v>50</v>
      </c>
      <c r="K111" s="22" t="s">
        <v>26</v>
      </c>
      <c r="L111" s="21">
        <v>45505</v>
      </c>
      <c r="M111">
        <v>8</v>
      </c>
      <c r="N111">
        <v>2024</v>
      </c>
      <c r="O111">
        <v>23</v>
      </c>
      <c r="P111">
        <v>781.375</v>
      </c>
    </row>
    <row r="112" spans="1:16" x14ac:dyDescent="0.25">
      <c r="A112">
        <v>250</v>
      </c>
      <c r="B112" s="21">
        <v>45519</v>
      </c>
      <c r="C112" t="s">
        <v>340</v>
      </c>
      <c r="D112" s="22" t="s">
        <v>207</v>
      </c>
      <c r="E112" s="22" t="s">
        <v>61</v>
      </c>
      <c r="F112" s="22" t="s">
        <v>57</v>
      </c>
      <c r="G112">
        <v>32.9</v>
      </c>
      <c r="H112" t="s">
        <v>342</v>
      </c>
      <c r="I112">
        <v>0</v>
      </c>
      <c r="J112" s="22" t="s">
        <v>25</v>
      </c>
      <c r="K112" s="22" t="s">
        <v>26</v>
      </c>
      <c r="L112" s="21">
        <v>45505</v>
      </c>
      <c r="M112">
        <v>8</v>
      </c>
      <c r="N112">
        <v>2024</v>
      </c>
      <c r="O112">
        <v>28</v>
      </c>
      <c r="P112">
        <v>921.19999999999993</v>
      </c>
    </row>
    <row r="113" spans="1:16" x14ac:dyDescent="0.25">
      <c r="A113">
        <v>76</v>
      </c>
      <c r="B113" s="21">
        <v>45518</v>
      </c>
      <c r="C113" t="s">
        <v>340</v>
      </c>
      <c r="D113" s="22" t="s">
        <v>128</v>
      </c>
      <c r="E113" s="22" t="s">
        <v>74</v>
      </c>
      <c r="F113" s="22" t="s">
        <v>57</v>
      </c>
      <c r="G113">
        <v>5.9</v>
      </c>
      <c r="H113" t="s">
        <v>342</v>
      </c>
      <c r="I113">
        <v>6.79</v>
      </c>
      <c r="J113" s="22" t="s">
        <v>50</v>
      </c>
      <c r="K113" s="22" t="s">
        <v>32</v>
      </c>
      <c r="L113" s="21">
        <v>45505</v>
      </c>
      <c r="M113">
        <v>8</v>
      </c>
      <c r="N113">
        <v>2024</v>
      </c>
      <c r="O113">
        <v>21</v>
      </c>
      <c r="P113">
        <v>128.91500000000002</v>
      </c>
    </row>
    <row r="114" spans="1:16" x14ac:dyDescent="0.25">
      <c r="A114">
        <v>290</v>
      </c>
      <c r="B114" s="21">
        <v>45518</v>
      </c>
      <c r="C114" t="s">
        <v>340</v>
      </c>
      <c r="D114" s="22" t="s">
        <v>134</v>
      </c>
      <c r="E114" s="22" t="s">
        <v>68</v>
      </c>
      <c r="F114" s="22" t="s">
        <v>17</v>
      </c>
      <c r="G114">
        <v>0.75</v>
      </c>
      <c r="H114" t="s">
        <v>342</v>
      </c>
      <c r="I114">
        <v>0</v>
      </c>
      <c r="J114" s="22" t="s">
        <v>50</v>
      </c>
      <c r="K114" s="22" t="s">
        <v>32</v>
      </c>
      <c r="L114" s="21">
        <v>45505</v>
      </c>
      <c r="M114">
        <v>8</v>
      </c>
      <c r="N114">
        <v>2024</v>
      </c>
      <c r="O114">
        <v>9</v>
      </c>
      <c r="P114">
        <v>6.75</v>
      </c>
    </row>
    <row r="115" spans="1:16" x14ac:dyDescent="0.25">
      <c r="A115">
        <v>163</v>
      </c>
      <c r="B115" s="21">
        <v>45517</v>
      </c>
      <c r="C115" t="s">
        <v>340</v>
      </c>
      <c r="D115" s="22" t="s">
        <v>28</v>
      </c>
      <c r="E115" s="22" t="s">
        <v>29</v>
      </c>
      <c r="F115" s="22" t="s">
        <v>343</v>
      </c>
      <c r="G115">
        <v>5.9</v>
      </c>
      <c r="H115" t="s">
        <v>342</v>
      </c>
      <c r="I115">
        <v>0</v>
      </c>
      <c r="J115" s="22" t="s">
        <v>31</v>
      </c>
      <c r="K115" s="22" t="s">
        <v>19</v>
      </c>
      <c r="L115" s="21">
        <v>45505</v>
      </c>
      <c r="M115">
        <v>8</v>
      </c>
      <c r="N115">
        <v>2024</v>
      </c>
      <c r="O115">
        <v>6</v>
      </c>
      <c r="P115">
        <v>35.400000000000006</v>
      </c>
    </row>
    <row r="116" spans="1:16" x14ac:dyDescent="0.25">
      <c r="A116">
        <v>298</v>
      </c>
      <c r="B116" s="21">
        <v>45515</v>
      </c>
      <c r="C116" t="s">
        <v>340</v>
      </c>
      <c r="D116" s="22" t="s">
        <v>175</v>
      </c>
      <c r="E116" s="22" t="s">
        <v>23</v>
      </c>
      <c r="F116" s="22" t="s">
        <v>24</v>
      </c>
      <c r="G116">
        <v>8.5</v>
      </c>
      <c r="H116" t="s">
        <v>342</v>
      </c>
      <c r="I116">
        <v>0</v>
      </c>
      <c r="J116" s="22" t="s">
        <v>31</v>
      </c>
      <c r="K116" s="22" t="s">
        <v>26</v>
      </c>
      <c r="L116" s="21">
        <v>45505</v>
      </c>
      <c r="M116">
        <v>8</v>
      </c>
      <c r="N116">
        <v>2024</v>
      </c>
      <c r="O116">
        <v>15</v>
      </c>
      <c r="P116">
        <v>127.5</v>
      </c>
    </row>
    <row r="117" spans="1:16" x14ac:dyDescent="0.25">
      <c r="A117">
        <v>142</v>
      </c>
      <c r="B117" s="21">
        <v>45514</v>
      </c>
      <c r="C117" t="s">
        <v>340</v>
      </c>
      <c r="D117" s="22" t="s">
        <v>166</v>
      </c>
      <c r="E117" s="22" t="s">
        <v>23</v>
      </c>
      <c r="F117" s="22" t="s">
        <v>101</v>
      </c>
      <c r="G117">
        <v>4.2</v>
      </c>
      <c r="H117" t="s">
        <v>342</v>
      </c>
      <c r="I117">
        <v>10.08</v>
      </c>
      <c r="J117" s="22" t="s">
        <v>40</v>
      </c>
      <c r="K117" s="22" t="s">
        <v>19</v>
      </c>
      <c r="L117" s="21">
        <v>45505</v>
      </c>
      <c r="M117">
        <v>8</v>
      </c>
      <c r="N117">
        <v>2024</v>
      </c>
      <c r="O117">
        <v>21</v>
      </c>
      <c r="P117">
        <v>90.720000000000013</v>
      </c>
    </row>
    <row r="118" spans="1:16" x14ac:dyDescent="0.25">
      <c r="A118">
        <v>141</v>
      </c>
      <c r="B118" s="21">
        <v>45513</v>
      </c>
      <c r="C118" t="s">
        <v>340</v>
      </c>
      <c r="D118" s="22" t="s">
        <v>79</v>
      </c>
      <c r="E118" s="22" t="s">
        <v>29</v>
      </c>
      <c r="F118" s="22" t="s">
        <v>80</v>
      </c>
      <c r="G118">
        <v>7.9</v>
      </c>
      <c r="H118" t="s">
        <v>342</v>
      </c>
      <c r="I118">
        <v>8.2899999999999991</v>
      </c>
      <c r="J118" s="22" t="s">
        <v>40</v>
      </c>
      <c r="K118" s="22" t="s">
        <v>32</v>
      </c>
      <c r="L118" s="21">
        <v>45505</v>
      </c>
      <c r="M118">
        <v>8</v>
      </c>
      <c r="N118">
        <v>2024</v>
      </c>
      <c r="O118">
        <v>22</v>
      </c>
      <c r="P118">
        <v>181.22600000000003</v>
      </c>
    </row>
    <row r="119" spans="1:16" x14ac:dyDescent="0.25">
      <c r="A119">
        <v>126</v>
      </c>
      <c r="B119" s="21">
        <v>45511</v>
      </c>
      <c r="C119" t="s">
        <v>340</v>
      </c>
      <c r="D119" s="22" t="s">
        <v>48</v>
      </c>
      <c r="E119" s="22" t="s">
        <v>23</v>
      </c>
      <c r="F119" s="22" t="s">
        <v>49</v>
      </c>
      <c r="G119">
        <v>18.899999999999999</v>
      </c>
      <c r="H119" t="s">
        <v>342</v>
      </c>
      <c r="I119">
        <v>26.46</v>
      </c>
      <c r="J119" s="22" t="s">
        <v>45</v>
      </c>
      <c r="K119" s="22" t="s">
        <v>32</v>
      </c>
      <c r="L119" s="21">
        <v>45505</v>
      </c>
      <c r="M119">
        <v>8</v>
      </c>
      <c r="N119">
        <v>2024</v>
      </c>
      <c r="O119">
        <v>26</v>
      </c>
      <c r="P119">
        <v>502.74</v>
      </c>
    </row>
    <row r="120" spans="1:16" x14ac:dyDescent="0.25">
      <c r="A120">
        <v>169</v>
      </c>
      <c r="B120" s="21">
        <v>45511</v>
      </c>
      <c r="C120" t="s">
        <v>340</v>
      </c>
      <c r="D120" s="22" t="s">
        <v>126</v>
      </c>
      <c r="E120" s="22" t="s">
        <v>29</v>
      </c>
      <c r="F120" s="22" t="s">
        <v>345</v>
      </c>
      <c r="G120">
        <v>6.9</v>
      </c>
      <c r="H120" t="s">
        <v>342</v>
      </c>
      <c r="I120">
        <v>13.11</v>
      </c>
      <c r="J120" s="22" t="s">
        <v>25</v>
      </c>
      <c r="K120" s="22" t="s">
        <v>26</v>
      </c>
      <c r="L120" s="21">
        <v>45505</v>
      </c>
      <c r="M120">
        <v>8</v>
      </c>
      <c r="N120">
        <v>2024</v>
      </c>
      <c r="O120">
        <v>17</v>
      </c>
      <c r="P120">
        <v>117.99000000000001</v>
      </c>
    </row>
    <row r="121" spans="1:16" x14ac:dyDescent="0.25">
      <c r="A121">
        <v>280</v>
      </c>
      <c r="B121" s="21">
        <v>45511</v>
      </c>
      <c r="C121" t="s">
        <v>340</v>
      </c>
      <c r="D121" s="22" t="s">
        <v>128</v>
      </c>
      <c r="E121" s="22" t="s">
        <v>74</v>
      </c>
      <c r="F121" s="22" t="s">
        <v>57</v>
      </c>
      <c r="G121">
        <v>5.9</v>
      </c>
      <c r="H121" t="s">
        <v>342</v>
      </c>
      <c r="I121">
        <v>14.75</v>
      </c>
      <c r="J121" s="22" t="s">
        <v>50</v>
      </c>
      <c r="K121" s="22" t="s">
        <v>26</v>
      </c>
      <c r="L121" s="21">
        <v>45505</v>
      </c>
      <c r="M121">
        <v>8</v>
      </c>
      <c r="N121">
        <v>2024</v>
      </c>
      <c r="O121">
        <v>22</v>
      </c>
      <c r="P121">
        <v>132.75</v>
      </c>
    </row>
    <row r="122" spans="1:16" x14ac:dyDescent="0.25">
      <c r="A122">
        <v>299</v>
      </c>
      <c r="B122" s="21">
        <v>45511</v>
      </c>
      <c r="C122" t="s">
        <v>340</v>
      </c>
      <c r="D122" s="22" t="s">
        <v>73</v>
      </c>
      <c r="E122" s="22" t="s">
        <v>74</v>
      </c>
      <c r="F122" s="22" t="s">
        <v>17</v>
      </c>
      <c r="G122">
        <v>2.9</v>
      </c>
      <c r="H122" t="s">
        <v>342</v>
      </c>
      <c r="I122">
        <v>1.88</v>
      </c>
      <c r="J122" s="22" t="s">
        <v>31</v>
      </c>
      <c r="K122" s="22" t="s">
        <v>32</v>
      </c>
      <c r="L122" s="21">
        <v>45505</v>
      </c>
      <c r="M122">
        <v>8</v>
      </c>
      <c r="N122">
        <v>2024</v>
      </c>
      <c r="O122">
        <v>12</v>
      </c>
      <c r="P122">
        <v>35.814999999999998</v>
      </c>
    </row>
    <row r="123" spans="1:16" x14ac:dyDescent="0.25">
      <c r="A123">
        <v>176</v>
      </c>
      <c r="B123" s="21">
        <v>45509</v>
      </c>
      <c r="C123" t="s">
        <v>340</v>
      </c>
      <c r="D123" s="22" t="s">
        <v>22</v>
      </c>
      <c r="E123" s="22" t="s">
        <v>23</v>
      </c>
      <c r="F123" s="22" t="s">
        <v>24</v>
      </c>
      <c r="G123">
        <v>2.9</v>
      </c>
      <c r="H123" t="s">
        <v>342</v>
      </c>
      <c r="I123">
        <v>0</v>
      </c>
      <c r="J123" s="22" t="s">
        <v>40</v>
      </c>
      <c r="K123" s="22" t="s">
        <v>32</v>
      </c>
      <c r="L123" s="21">
        <v>45505</v>
      </c>
      <c r="M123">
        <v>8</v>
      </c>
      <c r="N123">
        <v>2024</v>
      </c>
      <c r="O123">
        <v>18</v>
      </c>
      <c r="P123">
        <v>52.199999999999996</v>
      </c>
    </row>
    <row r="124" spans="1:16" x14ac:dyDescent="0.25">
      <c r="A124">
        <v>154</v>
      </c>
      <c r="B124" s="21">
        <v>45509</v>
      </c>
      <c r="C124" t="s">
        <v>340</v>
      </c>
      <c r="D124" s="22" t="s">
        <v>103</v>
      </c>
      <c r="E124" s="22" t="s">
        <v>35</v>
      </c>
      <c r="F124" s="22" t="s">
        <v>95</v>
      </c>
      <c r="G124">
        <v>54.9</v>
      </c>
      <c r="H124" t="s">
        <v>342</v>
      </c>
      <c r="I124">
        <v>0</v>
      </c>
      <c r="J124" s="22" t="s">
        <v>31</v>
      </c>
      <c r="K124" s="22" t="s">
        <v>26</v>
      </c>
      <c r="L124" s="21">
        <v>45505</v>
      </c>
      <c r="M124">
        <v>8</v>
      </c>
      <c r="N124">
        <v>2024</v>
      </c>
      <c r="O124">
        <v>18</v>
      </c>
      <c r="P124">
        <v>988.19999999999993</v>
      </c>
    </row>
    <row r="125" spans="1:16" x14ac:dyDescent="0.25">
      <c r="A125">
        <v>3</v>
      </c>
      <c r="B125" s="21">
        <v>45508</v>
      </c>
      <c r="C125" t="s">
        <v>340</v>
      </c>
      <c r="D125" s="22" t="s">
        <v>64</v>
      </c>
      <c r="E125" s="22" t="s">
        <v>23</v>
      </c>
      <c r="F125" s="22" t="s">
        <v>24</v>
      </c>
      <c r="G125">
        <v>9.1999999999999993</v>
      </c>
      <c r="H125" t="s">
        <v>342</v>
      </c>
      <c r="I125">
        <v>0</v>
      </c>
      <c r="J125" s="22" t="s">
        <v>45</v>
      </c>
      <c r="K125" s="22" t="s">
        <v>32</v>
      </c>
      <c r="L125" s="21">
        <v>45505</v>
      </c>
      <c r="M125">
        <v>8</v>
      </c>
      <c r="N125">
        <v>2024</v>
      </c>
      <c r="O125">
        <v>1</v>
      </c>
      <c r="P125">
        <v>9.1999999999999993</v>
      </c>
    </row>
    <row r="126" spans="1:16" x14ac:dyDescent="0.25">
      <c r="A126">
        <v>7</v>
      </c>
      <c r="B126" s="21">
        <v>45508</v>
      </c>
      <c r="C126" t="s">
        <v>340</v>
      </c>
      <c r="D126" s="22" t="s">
        <v>28</v>
      </c>
      <c r="E126" s="22" t="s">
        <v>29</v>
      </c>
      <c r="F126" s="22" t="s">
        <v>343</v>
      </c>
      <c r="G126">
        <v>5.9</v>
      </c>
      <c r="H126" t="s">
        <v>342</v>
      </c>
      <c r="I126">
        <v>0</v>
      </c>
      <c r="J126" s="22" t="s">
        <v>45</v>
      </c>
      <c r="K126" s="22" t="s">
        <v>19</v>
      </c>
      <c r="L126" s="21">
        <v>45505</v>
      </c>
      <c r="M126">
        <v>8</v>
      </c>
      <c r="N126">
        <v>2024</v>
      </c>
      <c r="O126">
        <v>9</v>
      </c>
      <c r="P126">
        <v>53.1</v>
      </c>
    </row>
    <row r="127" spans="1:16" x14ac:dyDescent="0.25">
      <c r="A127">
        <v>37</v>
      </c>
      <c r="B127" s="21">
        <v>45508</v>
      </c>
      <c r="C127" t="s">
        <v>340</v>
      </c>
      <c r="D127" s="22" t="s">
        <v>91</v>
      </c>
      <c r="E127" s="22" t="s">
        <v>61</v>
      </c>
      <c r="F127" s="22" t="s">
        <v>343</v>
      </c>
      <c r="G127">
        <v>4.5</v>
      </c>
      <c r="H127" t="s">
        <v>342</v>
      </c>
      <c r="I127">
        <v>13.5</v>
      </c>
      <c r="J127" s="22" t="s">
        <v>40</v>
      </c>
      <c r="K127" s="22" t="s">
        <v>26</v>
      </c>
      <c r="L127" s="21">
        <v>45505</v>
      </c>
      <c r="M127">
        <v>8</v>
      </c>
      <c r="N127">
        <v>2024</v>
      </c>
      <c r="O127">
        <v>27</v>
      </c>
      <c r="P127">
        <v>121.5</v>
      </c>
    </row>
    <row r="128" spans="1:16" x14ac:dyDescent="0.25">
      <c r="A128">
        <v>260</v>
      </c>
      <c r="B128" s="21">
        <v>45507</v>
      </c>
      <c r="C128" t="s">
        <v>340</v>
      </c>
      <c r="D128" s="22" t="s">
        <v>77</v>
      </c>
      <c r="E128" s="22" t="s">
        <v>74</v>
      </c>
      <c r="F128" s="22" t="s">
        <v>57</v>
      </c>
      <c r="G128">
        <v>3.9</v>
      </c>
      <c r="H128" t="s">
        <v>342</v>
      </c>
      <c r="I128">
        <v>0</v>
      </c>
      <c r="J128" s="22" t="s">
        <v>18</v>
      </c>
      <c r="K128" s="22" t="s">
        <v>19</v>
      </c>
      <c r="L128" s="21">
        <v>45505</v>
      </c>
      <c r="M128">
        <v>8</v>
      </c>
      <c r="N128">
        <v>2024</v>
      </c>
      <c r="O128">
        <v>4</v>
      </c>
      <c r="P128">
        <v>15.6</v>
      </c>
    </row>
    <row r="129" spans="1:16" x14ac:dyDescent="0.25">
      <c r="A129">
        <v>286</v>
      </c>
      <c r="B129" s="21">
        <v>45506</v>
      </c>
      <c r="C129" t="s">
        <v>340</v>
      </c>
      <c r="D129" s="22" t="s">
        <v>55</v>
      </c>
      <c r="E129" s="22" t="s">
        <v>56</v>
      </c>
      <c r="F129" s="22" t="s">
        <v>57</v>
      </c>
      <c r="G129">
        <v>22.9</v>
      </c>
      <c r="H129" t="s">
        <v>342</v>
      </c>
      <c r="I129">
        <v>0</v>
      </c>
      <c r="J129" s="22" t="s">
        <v>31</v>
      </c>
      <c r="K129" s="22" t="s">
        <v>19</v>
      </c>
      <c r="L129" s="21">
        <v>45505</v>
      </c>
      <c r="M129">
        <v>8</v>
      </c>
      <c r="N129">
        <v>2024</v>
      </c>
      <c r="O129">
        <v>11</v>
      </c>
      <c r="P129">
        <v>251.89999999999998</v>
      </c>
    </row>
    <row r="130" spans="1:16" x14ac:dyDescent="0.25">
      <c r="A130">
        <v>201</v>
      </c>
      <c r="B130" s="21">
        <v>45504</v>
      </c>
      <c r="C130" t="s">
        <v>340</v>
      </c>
      <c r="D130" s="22" t="s">
        <v>28</v>
      </c>
      <c r="E130" s="22" t="s">
        <v>29</v>
      </c>
      <c r="F130" s="22" t="s">
        <v>343</v>
      </c>
      <c r="G130">
        <v>5.9</v>
      </c>
      <c r="H130" t="s">
        <v>342</v>
      </c>
      <c r="I130">
        <v>17.7</v>
      </c>
      <c r="J130" s="22" t="s">
        <v>31</v>
      </c>
      <c r="K130" s="22" t="s">
        <v>32</v>
      </c>
      <c r="L130" s="21">
        <v>45474</v>
      </c>
      <c r="M130">
        <v>7</v>
      </c>
      <c r="N130">
        <v>2024</v>
      </c>
      <c r="O130">
        <v>27</v>
      </c>
      <c r="P130">
        <v>159.30000000000001</v>
      </c>
    </row>
    <row r="131" spans="1:16" x14ac:dyDescent="0.25">
      <c r="A131">
        <v>83</v>
      </c>
      <c r="B131" s="21">
        <v>45502</v>
      </c>
      <c r="C131" t="s">
        <v>340</v>
      </c>
      <c r="D131" s="22" t="s">
        <v>15</v>
      </c>
      <c r="E131" s="22" t="s">
        <v>16</v>
      </c>
      <c r="F131" s="22" t="s">
        <v>17</v>
      </c>
      <c r="G131">
        <v>3.9</v>
      </c>
      <c r="H131" t="s">
        <v>342</v>
      </c>
      <c r="I131">
        <v>0</v>
      </c>
      <c r="J131" s="22" t="s">
        <v>31</v>
      </c>
      <c r="K131" s="22" t="s">
        <v>32</v>
      </c>
      <c r="L131" s="21">
        <v>45474</v>
      </c>
      <c r="M131">
        <v>7</v>
      </c>
      <c r="N131">
        <v>2024</v>
      </c>
      <c r="O131">
        <v>28</v>
      </c>
      <c r="P131">
        <v>109.2</v>
      </c>
    </row>
    <row r="132" spans="1:16" x14ac:dyDescent="0.25">
      <c r="A132">
        <v>47</v>
      </c>
      <c r="B132" s="21">
        <v>45502</v>
      </c>
      <c r="C132" t="s">
        <v>340</v>
      </c>
      <c r="D132" s="22" t="s">
        <v>55</v>
      </c>
      <c r="E132" s="22" t="s">
        <v>56</v>
      </c>
      <c r="F132" s="22" t="s">
        <v>57</v>
      </c>
      <c r="G132">
        <v>22.9</v>
      </c>
      <c r="H132" t="s">
        <v>342</v>
      </c>
      <c r="I132">
        <v>0</v>
      </c>
      <c r="J132" s="22" t="s">
        <v>40</v>
      </c>
      <c r="K132" s="22" t="s">
        <v>26</v>
      </c>
      <c r="L132" s="21">
        <v>45474</v>
      </c>
      <c r="M132">
        <v>7</v>
      </c>
      <c r="N132">
        <v>2024</v>
      </c>
      <c r="O132">
        <v>28</v>
      </c>
      <c r="P132">
        <v>641.19999999999993</v>
      </c>
    </row>
    <row r="133" spans="1:16" x14ac:dyDescent="0.25">
      <c r="A133">
        <v>81</v>
      </c>
      <c r="B133" s="21">
        <v>45500</v>
      </c>
      <c r="C133" t="s">
        <v>340</v>
      </c>
      <c r="D133" s="22" t="s">
        <v>265</v>
      </c>
      <c r="E133" s="22" t="s">
        <v>16</v>
      </c>
      <c r="F133" s="22" t="s">
        <v>24</v>
      </c>
      <c r="G133">
        <v>18.899999999999999</v>
      </c>
      <c r="H133" t="s">
        <v>342</v>
      </c>
      <c r="I133">
        <v>0</v>
      </c>
      <c r="J133" s="22" t="s">
        <v>45</v>
      </c>
      <c r="K133" s="22" t="s">
        <v>32</v>
      </c>
      <c r="L133" s="21">
        <v>45474</v>
      </c>
      <c r="M133">
        <v>7</v>
      </c>
      <c r="N133">
        <v>2024</v>
      </c>
      <c r="O133">
        <v>24</v>
      </c>
      <c r="P133">
        <v>453.59999999999997</v>
      </c>
    </row>
    <row r="134" spans="1:16" x14ac:dyDescent="0.25">
      <c r="A134">
        <v>249</v>
      </c>
      <c r="B134" s="21">
        <v>45500</v>
      </c>
      <c r="C134" t="s">
        <v>340</v>
      </c>
      <c r="D134" s="22" t="s">
        <v>96</v>
      </c>
      <c r="E134" s="22" t="s">
        <v>61</v>
      </c>
      <c r="F134" s="22" t="s">
        <v>62</v>
      </c>
      <c r="G134">
        <v>9.9</v>
      </c>
      <c r="H134" t="s">
        <v>342</v>
      </c>
      <c r="I134">
        <v>0</v>
      </c>
      <c r="J134" s="22" t="s">
        <v>45</v>
      </c>
      <c r="K134" s="22" t="s">
        <v>19</v>
      </c>
      <c r="L134" s="21">
        <v>45474</v>
      </c>
      <c r="M134">
        <v>7</v>
      </c>
      <c r="N134">
        <v>2024</v>
      </c>
      <c r="O134">
        <v>2</v>
      </c>
      <c r="P134">
        <v>19.8</v>
      </c>
    </row>
    <row r="135" spans="1:16" x14ac:dyDescent="0.25">
      <c r="A135">
        <v>118</v>
      </c>
      <c r="B135" s="21">
        <v>45500</v>
      </c>
      <c r="C135" t="s">
        <v>340</v>
      </c>
      <c r="D135" s="22" t="s">
        <v>28</v>
      </c>
      <c r="E135" s="22" t="s">
        <v>29</v>
      </c>
      <c r="F135" s="22" t="s">
        <v>343</v>
      </c>
      <c r="G135">
        <v>5.9</v>
      </c>
      <c r="H135" t="s">
        <v>342</v>
      </c>
      <c r="I135">
        <v>5.31</v>
      </c>
      <c r="J135" s="22" t="s">
        <v>18</v>
      </c>
      <c r="K135" s="22" t="s">
        <v>32</v>
      </c>
      <c r="L135" s="21">
        <v>45474</v>
      </c>
      <c r="M135">
        <v>7</v>
      </c>
      <c r="N135">
        <v>2024</v>
      </c>
      <c r="O135">
        <v>17</v>
      </c>
      <c r="P135">
        <v>100.89000000000001</v>
      </c>
    </row>
    <row r="136" spans="1:16" x14ac:dyDescent="0.25">
      <c r="A136">
        <v>300</v>
      </c>
      <c r="B136" s="21">
        <v>45499</v>
      </c>
      <c r="C136" t="s">
        <v>340</v>
      </c>
      <c r="D136" s="22" t="s">
        <v>175</v>
      </c>
      <c r="E136" s="22" t="s">
        <v>23</v>
      </c>
      <c r="F136" s="22" t="s">
        <v>24</v>
      </c>
      <c r="G136">
        <v>8.5</v>
      </c>
      <c r="H136" t="s">
        <v>342</v>
      </c>
      <c r="I136">
        <v>0</v>
      </c>
      <c r="J136" s="22" t="s">
        <v>50</v>
      </c>
      <c r="K136" s="22" t="s">
        <v>19</v>
      </c>
      <c r="L136" s="21">
        <v>45474</v>
      </c>
      <c r="M136">
        <v>7</v>
      </c>
      <c r="N136">
        <v>2024</v>
      </c>
      <c r="O136">
        <v>11</v>
      </c>
      <c r="P136">
        <v>93.5</v>
      </c>
    </row>
    <row r="137" spans="1:16" x14ac:dyDescent="0.25">
      <c r="A137">
        <v>188</v>
      </c>
      <c r="B137" s="21">
        <v>45497</v>
      </c>
      <c r="C137" t="s">
        <v>340</v>
      </c>
      <c r="D137" s="22" t="s">
        <v>94</v>
      </c>
      <c r="E137" s="22" t="s">
        <v>35</v>
      </c>
      <c r="F137" s="22" t="s">
        <v>95</v>
      </c>
      <c r="G137">
        <v>19.899999999999999</v>
      </c>
      <c r="H137" t="s">
        <v>342</v>
      </c>
      <c r="I137">
        <v>0</v>
      </c>
      <c r="J137" s="22" t="s">
        <v>18</v>
      </c>
      <c r="K137" s="22" t="s">
        <v>32</v>
      </c>
      <c r="L137" s="21">
        <v>45474</v>
      </c>
      <c r="M137">
        <v>7</v>
      </c>
      <c r="N137">
        <v>2024</v>
      </c>
      <c r="O137">
        <v>18</v>
      </c>
      <c r="P137">
        <v>358.2</v>
      </c>
    </row>
    <row r="138" spans="1:16" x14ac:dyDescent="0.25">
      <c r="A138">
        <v>23</v>
      </c>
      <c r="B138" s="21">
        <v>45496</v>
      </c>
      <c r="C138" t="s">
        <v>340</v>
      </c>
      <c r="D138" s="22" t="s">
        <v>79</v>
      </c>
      <c r="E138" s="22" t="s">
        <v>29</v>
      </c>
      <c r="F138" s="22" t="s">
        <v>80</v>
      </c>
      <c r="G138">
        <v>7.9</v>
      </c>
      <c r="H138" t="s">
        <v>342</v>
      </c>
      <c r="I138">
        <v>0</v>
      </c>
      <c r="J138" s="22" t="s">
        <v>50</v>
      </c>
      <c r="K138" s="22" t="s">
        <v>19</v>
      </c>
      <c r="L138" s="21">
        <v>45474</v>
      </c>
      <c r="M138">
        <v>7</v>
      </c>
      <c r="N138">
        <v>2024</v>
      </c>
      <c r="O138">
        <v>8</v>
      </c>
      <c r="P138">
        <v>63.2</v>
      </c>
    </row>
    <row r="139" spans="1:16" x14ac:dyDescent="0.25">
      <c r="A139">
        <v>239</v>
      </c>
      <c r="B139" s="21">
        <v>45494</v>
      </c>
      <c r="C139" t="s">
        <v>340</v>
      </c>
      <c r="D139" s="22" t="s">
        <v>43</v>
      </c>
      <c r="E139" s="22" t="s">
        <v>23</v>
      </c>
      <c r="F139" s="22" t="s">
        <v>44</v>
      </c>
      <c r="G139">
        <v>12.9</v>
      </c>
      <c r="H139" t="s">
        <v>342</v>
      </c>
      <c r="I139">
        <v>11.61</v>
      </c>
      <c r="J139" s="22" t="s">
        <v>25</v>
      </c>
      <c r="K139" s="22" t="s">
        <v>19</v>
      </c>
      <c r="L139" s="21">
        <v>45474</v>
      </c>
      <c r="M139">
        <v>7</v>
      </c>
      <c r="N139">
        <v>2024</v>
      </c>
      <c r="O139">
        <v>8</v>
      </c>
      <c r="P139">
        <v>104.49</v>
      </c>
    </row>
    <row r="140" spans="1:16" x14ac:dyDescent="0.25">
      <c r="A140">
        <v>64</v>
      </c>
      <c r="B140" s="21">
        <v>45494</v>
      </c>
      <c r="C140" t="s">
        <v>340</v>
      </c>
      <c r="D140" s="22" t="s">
        <v>48</v>
      </c>
      <c r="E140" s="22" t="s">
        <v>23</v>
      </c>
      <c r="F140" s="22" t="s">
        <v>49</v>
      </c>
      <c r="G140">
        <v>18.899999999999999</v>
      </c>
      <c r="H140" t="s">
        <v>342</v>
      </c>
      <c r="I140">
        <v>0</v>
      </c>
      <c r="J140" s="22" t="s">
        <v>18</v>
      </c>
      <c r="K140" s="22" t="s">
        <v>19</v>
      </c>
      <c r="L140" s="21">
        <v>45474</v>
      </c>
      <c r="M140">
        <v>7</v>
      </c>
      <c r="N140">
        <v>2024</v>
      </c>
      <c r="O140">
        <v>22</v>
      </c>
      <c r="P140">
        <v>415.79999999999995</v>
      </c>
    </row>
    <row r="141" spans="1:16" x14ac:dyDescent="0.25">
      <c r="A141">
        <v>293</v>
      </c>
      <c r="B141" s="21">
        <v>45494</v>
      </c>
      <c r="C141" t="s">
        <v>340</v>
      </c>
      <c r="D141" s="22" t="s">
        <v>118</v>
      </c>
      <c r="E141" s="22" t="s">
        <v>16</v>
      </c>
      <c r="F141" s="22" t="s">
        <v>119</v>
      </c>
      <c r="G141">
        <v>2.5</v>
      </c>
      <c r="H141" t="s">
        <v>342</v>
      </c>
      <c r="I141">
        <v>0</v>
      </c>
      <c r="J141" s="22" t="s">
        <v>45</v>
      </c>
      <c r="K141" s="22" t="s">
        <v>19</v>
      </c>
      <c r="L141" s="21">
        <v>45474</v>
      </c>
      <c r="M141">
        <v>7</v>
      </c>
      <c r="N141">
        <v>2024</v>
      </c>
      <c r="O141">
        <v>2</v>
      </c>
      <c r="P141">
        <v>5</v>
      </c>
    </row>
    <row r="142" spans="1:16" x14ac:dyDescent="0.25">
      <c r="A142">
        <v>123</v>
      </c>
      <c r="B142" s="21">
        <v>45491</v>
      </c>
      <c r="C142" t="s">
        <v>340</v>
      </c>
      <c r="D142" s="22" t="s">
        <v>28</v>
      </c>
      <c r="E142" s="22" t="s">
        <v>29</v>
      </c>
      <c r="F142" s="22" t="s">
        <v>343</v>
      </c>
      <c r="G142">
        <v>5.9</v>
      </c>
      <c r="H142" t="s">
        <v>342</v>
      </c>
      <c r="I142">
        <v>6.49</v>
      </c>
      <c r="J142" s="22" t="s">
        <v>40</v>
      </c>
      <c r="K142" s="22" t="s">
        <v>32</v>
      </c>
      <c r="L142" s="21">
        <v>45474</v>
      </c>
      <c r="M142">
        <v>7</v>
      </c>
      <c r="N142">
        <v>2024</v>
      </c>
      <c r="O142">
        <v>20</v>
      </c>
      <c r="P142">
        <v>123.31</v>
      </c>
    </row>
    <row r="143" spans="1:16" x14ac:dyDescent="0.25">
      <c r="A143">
        <v>121</v>
      </c>
      <c r="B143" s="21">
        <v>45491</v>
      </c>
      <c r="C143" t="s">
        <v>340</v>
      </c>
      <c r="D143" s="22" t="s">
        <v>134</v>
      </c>
      <c r="E143" s="22" t="s">
        <v>68</v>
      </c>
      <c r="F143" s="22" t="s">
        <v>17</v>
      </c>
      <c r="G143">
        <v>0.75</v>
      </c>
      <c r="H143" t="s">
        <v>342</v>
      </c>
      <c r="I143">
        <v>1.35</v>
      </c>
      <c r="J143" s="22" t="s">
        <v>50</v>
      </c>
      <c r="K143" s="22" t="s">
        <v>32</v>
      </c>
      <c r="L143" s="21">
        <v>45474</v>
      </c>
      <c r="M143">
        <v>7</v>
      </c>
      <c r="N143">
        <v>2024</v>
      </c>
      <c r="O143">
        <v>16</v>
      </c>
      <c r="P143">
        <v>12.149999999999999</v>
      </c>
    </row>
    <row r="144" spans="1:16" x14ac:dyDescent="0.25">
      <c r="A144">
        <v>117</v>
      </c>
      <c r="B144" s="21">
        <v>45488</v>
      </c>
      <c r="C144" t="s">
        <v>340</v>
      </c>
      <c r="D144" s="22" t="s">
        <v>34</v>
      </c>
      <c r="E144" s="22" t="s">
        <v>35</v>
      </c>
      <c r="F144" s="22" t="s">
        <v>36</v>
      </c>
      <c r="G144">
        <v>14.9</v>
      </c>
      <c r="H144" t="s">
        <v>342</v>
      </c>
      <c r="I144">
        <v>0</v>
      </c>
      <c r="J144" s="22" t="s">
        <v>25</v>
      </c>
      <c r="K144" s="22" t="s">
        <v>19</v>
      </c>
      <c r="L144" s="21">
        <v>45474</v>
      </c>
      <c r="M144">
        <v>7</v>
      </c>
      <c r="N144">
        <v>2024</v>
      </c>
      <c r="O144">
        <v>5</v>
      </c>
      <c r="P144">
        <v>74.5</v>
      </c>
    </row>
    <row r="145" spans="1:16" x14ac:dyDescent="0.25">
      <c r="A145">
        <v>226</v>
      </c>
      <c r="B145" s="21">
        <v>45487</v>
      </c>
      <c r="C145" t="s">
        <v>340</v>
      </c>
      <c r="D145" s="22" t="s">
        <v>73</v>
      </c>
      <c r="E145" s="22" t="s">
        <v>74</v>
      </c>
      <c r="F145" s="22" t="s">
        <v>17</v>
      </c>
      <c r="G145">
        <v>2.9</v>
      </c>
      <c r="H145" t="s">
        <v>342</v>
      </c>
      <c r="I145">
        <v>3.48</v>
      </c>
      <c r="J145" s="22" t="s">
        <v>31</v>
      </c>
      <c r="K145" s="22" t="s">
        <v>26</v>
      </c>
      <c r="L145" s="21">
        <v>45474</v>
      </c>
      <c r="M145">
        <v>7</v>
      </c>
      <c r="N145">
        <v>2024</v>
      </c>
      <c r="O145">
        <v>10</v>
      </c>
      <c r="P145">
        <v>31.32</v>
      </c>
    </row>
    <row r="146" spans="1:16" x14ac:dyDescent="0.25">
      <c r="A146">
        <v>267</v>
      </c>
      <c r="B146" s="21">
        <v>45487</v>
      </c>
      <c r="C146" t="s">
        <v>340</v>
      </c>
      <c r="D146" s="22" t="s">
        <v>118</v>
      </c>
      <c r="E146" s="22" t="s">
        <v>16</v>
      </c>
      <c r="F146" s="22" t="s">
        <v>119</v>
      </c>
      <c r="G146">
        <v>2.5</v>
      </c>
      <c r="H146" t="s">
        <v>342</v>
      </c>
      <c r="I146">
        <v>0</v>
      </c>
      <c r="J146" s="22" t="s">
        <v>18</v>
      </c>
      <c r="K146" s="22" t="s">
        <v>26</v>
      </c>
      <c r="L146" s="21">
        <v>45474</v>
      </c>
      <c r="M146">
        <v>7</v>
      </c>
      <c r="N146">
        <v>2024</v>
      </c>
      <c r="O146">
        <v>17</v>
      </c>
      <c r="P146">
        <v>42.5</v>
      </c>
    </row>
    <row r="147" spans="1:16" x14ac:dyDescent="0.25">
      <c r="A147">
        <v>17</v>
      </c>
      <c r="B147" s="21">
        <v>45486</v>
      </c>
      <c r="C147" t="s">
        <v>340</v>
      </c>
      <c r="D147" s="22" t="s">
        <v>96</v>
      </c>
      <c r="E147" s="22" t="s">
        <v>61</v>
      </c>
      <c r="F147" s="22" t="s">
        <v>62</v>
      </c>
      <c r="G147">
        <v>9.9</v>
      </c>
      <c r="H147" t="s">
        <v>342</v>
      </c>
      <c r="I147">
        <v>29.7</v>
      </c>
      <c r="J147" s="22" t="s">
        <v>45</v>
      </c>
      <c r="K147" s="22" t="s">
        <v>26</v>
      </c>
      <c r="L147" s="21">
        <v>45474</v>
      </c>
      <c r="M147">
        <v>7</v>
      </c>
      <c r="N147">
        <v>2024</v>
      </c>
      <c r="O147">
        <v>27</v>
      </c>
      <c r="P147">
        <v>267.3</v>
      </c>
    </row>
    <row r="148" spans="1:16" x14ac:dyDescent="0.25">
      <c r="A148">
        <v>296</v>
      </c>
      <c r="B148" s="21">
        <v>45486</v>
      </c>
      <c r="C148" t="s">
        <v>340</v>
      </c>
      <c r="D148" s="22" t="s">
        <v>122</v>
      </c>
      <c r="E148" s="22" t="s">
        <v>74</v>
      </c>
      <c r="F148" s="22" t="s">
        <v>57</v>
      </c>
      <c r="G148">
        <v>7.9</v>
      </c>
      <c r="H148" t="s">
        <v>342</v>
      </c>
      <c r="I148">
        <v>0</v>
      </c>
      <c r="J148" s="22" t="s">
        <v>50</v>
      </c>
      <c r="K148" s="22" t="s">
        <v>26</v>
      </c>
      <c r="L148" s="21">
        <v>45474</v>
      </c>
      <c r="M148">
        <v>7</v>
      </c>
      <c r="N148">
        <v>2024</v>
      </c>
      <c r="O148">
        <v>23</v>
      </c>
      <c r="P148">
        <v>181.70000000000002</v>
      </c>
    </row>
    <row r="149" spans="1:16" x14ac:dyDescent="0.25">
      <c r="A149">
        <v>168</v>
      </c>
      <c r="B149" s="21">
        <v>45486</v>
      </c>
      <c r="C149" t="s">
        <v>340</v>
      </c>
      <c r="D149" s="22" t="s">
        <v>139</v>
      </c>
      <c r="E149" s="22" t="s">
        <v>68</v>
      </c>
      <c r="F149" s="22" t="s">
        <v>17</v>
      </c>
      <c r="G149">
        <v>4.5</v>
      </c>
      <c r="H149" t="s">
        <v>342</v>
      </c>
      <c r="I149">
        <v>6.75</v>
      </c>
      <c r="J149" s="22" t="s">
        <v>31</v>
      </c>
      <c r="K149" s="22" t="s">
        <v>26</v>
      </c>
      <c r="L149" s="21">
        <v>45474</v>
      </c>
      <c r="M149">
        <v>7</v>
      </c>
      <c r="N149">
        <v>2024</v>
      </c>
      <c r="O149">
        <v>28</v>
      </c>
      <c r="P149">
        <v>128.25</v>
      </c>
    </row>
    <row r="150" spans="1:16" x14ac:dyDescent="0.25">
      <c r="A150">
        <v>136</v>
      </c>
      <c r="B150" s="21">
        <v>45484</v>
      </c>
      <c r="C150" t="s">
        <v>340</v>
      </c>
      <c r="D150" s="22" t="s">
        <v>67</v>
      </c>
      <c r="E150" s="22" t="s">
        <v>68</v>
      </c>
      <c r="F150" s="22" t="s">
        <v>49</v>
      </c>
      <c r="G150">
        <v>8.9</v>
      </c>
      <c r="H150" t="s">
        <v>342</v>
      </c>
      <c r="I150">
        <v>0</v>
      </c>
      <c r="J150" s="22" t="s">
        <v>25</v>
      </c>
      <c r="K150" s="22" t="s">
        <v>26</v>
      </c>
      <c r="L150" s="21">
        <v>45474</v>
      </c>
      <c r="M150">
        <v>7</v>
      </c>
      <c r="N150">
        <v>2024</v>
      </c>
      <c r="O150">
        <v>23</v>
      </c>
      <c r="P150">
        <v>204.70000000000002</v>
      </c>
    </row>
    <row r="151" spans="1:16" x14ac:dyDescent="0.25">
      <c r="A151">
        <v>39</v>
      </c>
      <c r="B151" s="21">
        <v>45483</v>
      </c>
      <c r="C151" t="s">
        <v>340</v>
      </c>
      <c r="D151" s="22" t="s">
        <v>139</v>
      </c>
      <c r="E151" s="22" t="s">
        <v>68</v>
      </c>
      <c r="F151" s="22" t="s">
        <v>17</v>
      </c>
      <c r="G151">
        <v>4.5</v>
      </c>
      <c r="H151" t="s">
        <v>342</v>
      </c>
      <c r="I151">
        <v>13.05</v>
      </c>
      <c r="J151" s="22" t="s">
        <v>18</v>
      </c>
      <c r="K151" s="22" t="s">
        <v>32</v>
      </c>
      <c r="L151" s="21">
        <v>45474</v>
      </c>
      <c r="M151">
        <v>7</v>
      </c>
      <c r="N151">
        <v>2024</v>
      </c>
      <c r="O151">
        <v>26</v>
      </c>
      <c r="P151">
        <v>117.45</v>
      </c>
    </row>
    <row r="152" spans="1:16" x14ac:dyDescent="0.25">
      <c r="A152">
        <v>272</v>
      </c>
      <c r="B152" s="21">
        <v>45483</v>
      </c>
      <c r="C152" t="s">
        <v>340</v>
      </c>
      <c r="D152" s="22" t="s">
        <v>115</v>
      </c>
      <c r="E152" s="22" t="s">
        <v>23</v>
      </c>
      <c r="F152" s="22" t="s">
        <v>116</v>
      </c>
      <c r="G152">
        <v>12.5</v>
      </c>
      <c r="H152" t="s">
        <v>342</v>
      </c>
      <c r="I152">
        <v>13.75</v>
      </c>
      <c r="J152" s="22" t="s">
        <v>25</v>
      </c>
      <c r="K152" s="22" t="s">
        <v>32</v>
      </c>
      <c r="L152" s="21">
        <v>45474</v>
      </c>
      <c r="M152">
        <v>7</v>
      </c>
      <c r="N152">
        <v>2024</v>
      </c>
      <c r="O152">
        <v>20</v>
      </c>
      <c r="P152">
        <v>261.25</v>
      </c>
    </row>
    <row r="153" spans="1:16" x14ac:dyDescent="0.25">
      <c r="A153">
        <v>274</v>
      </c>
      <c r="B153" s="21">
        <v>45482</v>
      </c>
      <c r="C153" t="s">
        <v>340</v>
      </c>
      <c r="D153" s="22" t="s">
        <v>48</v>
      </c>
      <c r="E153" s="22" t="s">
        <v>23</v>
      </c>
      <c r="F153" s="22" t="s">
        <v>49</v>
      </c>
      <c r="G153">
        <v>18.899999999999999</v>
      </c>
      <c r="H153" t="s">
        <v>342</v>
      </c>
      <c r="I153">
        <v>0</v>
      </c>
      <c r="J153" s="22" t="s">
        <v>50</v>
      </c>
      <c r="K153" s="22" t="s">
        <v>26</v>
      </c>
      <c r="L153" s="21">
        <v>45474</v>
      </c>
      <c r="M153">
        <v>7</v>
      </c>
      <c r="N153">
        <v>2024</v>
      </c>
      <c r="O153">
        <v>18</v>
      </c>
      <c r="P153">
        <v>340.2</v>
      </c>
    </row>
    <row r="154" spans="1:16" x14ac:dyDescent="0.25">
      <c r="A154">
        <v>78</v>
      </c>
      <c r="B154" s="21">
        <v>45481</v>
      </c>
      <c r="C154" t="s">
        <v>340</v>
      </c>
      <c r="D154" s="22" t="s">
        <v>147</v>
      </c>
      <c r="E154" s="22" t="s">
        <v>74</v>
      </c>
      <c r="F154" s="22" t="s">
        <v>57</v>
      </c>
      <c r="G154">
        <v>4.5</v>
      </c>
      <c r="H154" t="s">
        <v>342</v>
      </c>
      <c r="I154">
        <v>0</v>
      </c>
      <c r="J154" s="22" t="s">
        <v>18</v>
      </c>
      <c r="K154" s="22" t="s">
        <v>32</v>
      </c>
      <c r="L154" s="21">
        <v>45474</v>
      </c>
      <c r="M154">
        <v>7</v>
      </c>
      <c r="N154">
        <v>2024</v>
      </c>
      <c r="O154">
        <v>18</v>
      </c>
      <c r="P154">
        <v>81</v>
      </c>
    </row>
    <row r="155" spans="1:16" x14ac:dyDescent="0.25">
      <c r="A155">
        <v>251</v>
      </c>
      <c r="B155" s="21">
        <v>45480</v>
      </c>
      <c r="C155" t="s">
        <v>340</v>
      </c>
      <c r="D155" s="22" t="s">
        <v>122</v>
      </c>
      <c r="E155" s="22" t="s">
        <v>74</v>
      </c>
      <c r="F155" s="22" t="s">
        <v>57</v>
      </c>
      <c r="G155">
        <v>7.9</v>
      </c>
      <c r="H155" t="s">
        <v>342</v>
      </c>
      <c r="I155">
        <v>0</v>
      </c>
      <c r="J155" s="22" t="s">
        <v>25</v>
      </c>
      <c r="K155" s="22" t="s">
        <v>19</v>
      </c>
      <c r="L155" s="21">
        <v>45474</v>
      </c>
      <c r="M155">
        <v>7</v>
      </c>
      <c r="N155">
        <v>2024</v>
      </c>
      <c r="O155">
        <v>29</v>
      </c>
      <c r="P155">
        <v>229.10000000000002</v>
      </c>
    </row>
    <row r="156" spans="1:16" x14ac:dyDescent="0.25">
      <c r="A156">
        <v>14</v>
      </c>
      <c r="B156" s="21">
        <v>45478</v>
      </c>
      <c r="C156" t="s">
        <v>340</v>
      </c>
      <c r="D156" s="22" t="s">
        <v>100</v>
      </c>
      <c r="E156" s="22" t="s">
        <v>23</v>
      </c>
      <c r="F156" s="22" t="s">
        <v>101</v>
      </c>
      <c r="G156">
        <v>5.9</v>
      </c>
      <c r="H156" t="s">
        <v>342</v>
      </c>
      <c r="I156">
        <v>0</v>
      </c>
      <c r="J156" s="22" t="s">
        <v>45</v>
      </c>
      <c r="K156" s="22" t="s">
        <v>26</v>
      </c>
      <c r="L156" s="21">
        <v>45474</v>
      </c>
      <c r="M156">
        <v>7</v>
      </c>
      <c r="N156">
        <v>2024</v>
      </c>
      <c r="O156">
        <v>12</v>
      </c>
      <c r="P156">
        <v>70.800000000000011</v>
      </c>
    </row>
    <row r="157" spans="1:16" x14ac:dyDescent="0.25">
      <c r="A157">
        <v>261</v>
      </c>
      <c r="B157" s="21">
        <v>45477</v>
      </c>
      <c r="C157" t="s">
        <v>340</v>
      </c>
      <c r="D157" s="22" t="s">
        <v>88</v>
      </c>
      <c r="E157" s="22" t="s">
        <v>56</v>
      </c>
      <c r="F157" s="22" t="s">
        <v>57</v>
      </c>
      <c r="G157">
        <v>24.9</v>
      </c>
      <c r="H157" t="s">
        <v>342</v>
      </c>
      <c r="I157">
        <v>0</v>
      </c>
      <c r="J157" s="22" t="s">
        <v>18</v>
      </c>
      <c r="K157" s="22" t="s">
        <v>26</v>
      </c>
      <c r="L157" s="21">
        <v>45474</v>
      </c>
      <c r="M157">
        <v>7</v>
      </c>
      <c r="N157">
        <v>2024</v>
      </c>
      <c r="O157">
        <v>19</v>
      </c>
      <c r="P157">
        <v>473.09999999999997</v>
      </c>
    </row>
    <row r="158" spans="1:16" x14ac:dyDescent="0.25">
      <c r="A158">
        <v>67</v>
      </c>
      <c r="B158" s="21">
        <v>45470</v>
      </c>
      <c r="C158" t="s">
        <v>340</v>
      </c>
      <c r="D158" s="22" t="s">
        <v>184</v>
      </c>
      <c r="E158" s="22" t="s">
        <v>23</v>
      </c>
      <c r="F158" s="22" t="s">
        <v>185</v>
      </c>
      <c r="G158">
        <v>4.9000000000000004</v>
      </c>
      <c r="H158" t="s">
        <v>342</v>
      </c>
      <c r="I158">
        <v>0</v>
      </c>
      <c r="J158" s="22" t="s">
        <v>31</v>
      </c>
      <c r="K158" s="22" t="s">
        <v>19</v>
      </c>
      <c r="L158" s="21">
        <v>45444</v>
      </c>
      <c r="M158">
        <v>6</v>
      </c>
      <c r="N158">
        <v>2024</v>
      </c>
      <c r="O158">
        <v>29</v>
      </c>
      <c r="P158">
        <v>142.10000000000002</v>
      </c>
    </row>
    <row r="159" spans="1:16" x14ac:dyDescent="0.25">
      <c r="A159">
        <v>186</v>
      </c>
      <c r="B159" s="21">
        <v>45470</v>
      </c>
      <c r="C159" t="s">
        <v>340</v>
      </c>
      <c r="D159" s="22" t="s">
        <v>134</v>
      </c>
      <c r="E159" s="22" t="s">
        <v>68</v>
      </c>
      <c r="F159" s="22" t="s">
        <v>17</v>
      </c>
      <c r="G159">
        <v>0.75</v>
      </c>
      <c r="H159" t="s">
        <v>342</v>
      </c>
      <c r="I159">
        <v>0</v>
      </c>
      <c r="J159" s="22" t="s">
        <v>40</v>
      </c>
      <c r="K159" s="22" t="s">
        <v>32</v>
      </c>
      <c r="L159" s="21">
        <v>45444</v>
      </c>
      <c r="M159">
        <v>6</v>
      </c>
      <c r="N159">
        <v>2024</v>
      </c>
      <c r="O159">
        <v>11</v>
      </c>
      <c r="P159">
        <v>8.25</v>
      </c>
    </row>
    <row r="160" spans="1:16" x14ac:dyDescent="0.25">
      <c r="A160">
        <v>139</v>
      </c>
      <c r="B160" s="21">
        <v>45469</v>
      </c>
      <c r="C160" t="s">
        <v>340</v>
      </c>
      <c r="D160" s="22" t="s">
        <v>122</v>
      </c>
      <c r="E160" s="22" t="s">
        <v>74</v>
      </c>
      <c r="F160" s="22" t="s">
        <v>57</v>
      </c>
      <c r="G160">
        <v>7.9</v>
      </c>
      <c r="H160" t="s">
        <v>342</v>
      </c>
      <c r="I160">
        <v>0</v>
      </c>
      <c r="J160" s="22" t="s">
        <v>25</v>
      </c>
      <c r="K160" s="22" t="s">
        <v>26</v>
      </c>
      <c r="L160" s="21">
        <v>45444</v>
      </c>
      <c r="M160">
        <v>6</v>
      </c>
      <c r="N160">
        <v>2024</v>
      </c>
      <c r="O160">
        <v>14</v>
      </c>
      <c r="P160">
        <v>110.60000000000001</v>
      </c>
    </row>
    <row r="161" spans="1:16" x14ac:dyDescent="0.25">
      <c r="A161">
        <v>291</v>
      </c>
      <c r="B161" s="21">
        <v>45468</v>
      </c>
      <c r="C161" t="s">
        <v>340</v>
      </c>
      <c r="D161" s="22" t="s">
        <v>108</v>
      </c>
      <c r="E161" s="22" t="s">
        <v>68</v>
      </c>
      <c r="F161" s="22" t="s">
        <v>49</v>
      </c>
      <c r="G161">
        <v>24.9</v>
      </c>
      <c r="H161" t="s">
        <v>342</v>
      </c>
      <c r="I161">
        <v>0</v>
      </c>
      <c r="J161" s="22" t="s">
        <v>40</v>
      </c>
      <c r="K161" s="22" t="s">
        <v>26</v>
      </c>
      <c r="L161" s="21">
        <v>45444</v>
      </c>
      <c r="M161">
        <v>6</v>
      </c>
      <c r="N161">
        <v>2024</v>
      </c>
      <c r="O161">
        <v>4</v>
      </c>
      <c r="P161">
        <v>99.6</v>
      </c>
    </row>
    <row r="162" spans="1:16" x14ac:dyDescent="0.25">
      <c r="A162">
        <v>90</v>
      </c>
      <c r="B162" s="21">
        <v>45468</v>
      </c>
      <c r="C162" t="s">
        <v>340</v>
      </c>
      <c r="D162" s="22" t="s">
        <v>159</v>
      </c>
      <c r="E162" s="22" t="s">
        <v>35</v>
      </c>
      <c r="F162" s="22" t="s">
        <v>137</v>
      </c>
      <c r="G162">
        <v>5.9</v>
      </c>
      <c r="H162" t="s">
        <v>342</v>
      </c>
      <c r="I162">
        <v>0</v>
      </c>
      <c r="J162" s="22" t="s">
        <v>18</v>
      </c>
      <c r="K162" s="22" t="s">
        <v>26</v>
      </c>
      <c r="L162" s="21">
        <v>45444</v>
      </c>
      <c r="M162">
        <v>6</v>
      </c>
      <c r="N162">
        <v>2024</v>
      </c>
      <c r="O162">
        <v>26</v>
      </c>
      <c r="P162">
        <v>153.4</v>
      </c>
    </row>
    <row r="163" spans="1:16" x14ac:dyDescent="0.25">
      <c r="A163">
        <v>283</v>
      </c>
      <c r="B163" s="21">
        <v>45465</v>
      </c>
      <c r="C163" t="s">
        <v>340</v>
      </c>
      <c r="D163" s="22" t="s">
        <v>144</v>
      </c>
      <c r="E163" s="22" t="s">
        <v>29</v>
      </c>
      <c r="F163" s="22" t="s">
        <v>145</v>
      </c>
      <c r="G163">
        <v>3.9</v>
      </c>
      <c r="H163" t="s">
        <v>342</v>
      </c>
      <c r="I163">
        <v>0</v>
      </c>
      <c r="J163" s="22" t="s">
        <v>45</v>
      </c>
      <c r="K163" s="22" t="s">
        <v>26</v>
      </c>
      <c r="L163" s="21">
        <v>45444</v>
      </c>
      <c r="M163">
        <v>6</v>
      </c>
      <c r="N163">
        <v>2024</v>
      </c>
      <c r="O163">
        <v>1</v>
      </c>
      <c r="P163">
        <v>3.9</v>
      </c>
    </row>
    <row r="164" spans="1:16" x14ac:dyDescent="0.25">
      <c r="A164">
        <v>128</v>
      </c>
      <c r="B164" s="21">
        <v>45464</v>
      </c>
      <c r="C164" t="s">
        <v>340</v>
      </c>
      <c r="D164" s="22" t="s">
        <v>94</v>
      </c>
      <c r="E164" s="22" t="s">
        <v>35</v>
      </c>
      <c r="F164" s="22" t="s">
        <v>95</v>
      </c>
      <c r="G164">
        <v>19.899999999999999</v>
      </c>
      <c r="H164" t="s">
        <v>342</v>
      </c>
      <c r="I164">
        <v>28.86</v>
      </c>
      <c r="J164" s="22" t="s">
        <v>31</v>
      </c>
      <c r="K164" s="22" t="s">
        <v>19</v>
      </c>
      <c r="L164" s="21">
        <v>45444</v>
      </c>
      <c r="M164">
        <v>6</v>
      </c>
      <c r="N164">
        <v>2024</v>
      </c>
      <c r="O164">
        <v>27</v>
      </c>
      <c r="P164">
        <v>548.245</v>
      </c>
    </row>
    <row r="165" spans="1:16" x14ac:dyDescent="0.25">
      <c r="A165">
        <v>75</v>
      </c>
      <c r="B165" s="21">
        <v>45462</v>
      </c>
      <c r="C165" t="s">
        <v>340</v>
      </c>
      <c r="D165" s="22" t="s">
        <v>48</v>
      </c>
      <c r="E165" s="22" t="s">
        <v>23</v>
      </c>
      <c r="F165" s="22" t="s">
        <v>49</v>
      </c>
      <c r="G165">
        <v>18.899999999999999</v>
      </c>
      <c r="H165" t="s">
        <v>342</v>
      </c>
      <c r="I165">
        <v>0</v>
      </c>
      <c r="J165" s="22" t="s">
        <v>45</v>
      </c>
      <c r="K165" s="22" t="s">
        <v>26</v>
      </c>
      <c r="L165" s="21">
        <v>45444</v>
      </c>
      <c r="M165">
        <v>6</v>
      </c>
      <c r="N165">
        <v>2024</v>
      </c>
      <c r="O165">
        <v>21</v>
      </c>
      <c r="P165">
        <v>396.9</v>
      </c>
    </row>
    <row r="166" spans="1:16" x14ac:dyDescent="0.25">
      <c r="A166">
        <v>204</v>
      </c>
      <c r="B166" s="21">
        <v>45462</v>
      </c>
      <c r="C166" t="s">
        <v>340</v>
      </c>
      <c r="D166" s="22" t="s">
        <v>128</v>
      </c>
      <c r="E166" s="22" t="s">
        <v>74</v>
      </c>
      <c r="F166" s="22" t="s">
        <v>57</v>
      </c>
      <c r="G166">
        <v>5.9</v>
      </c>
      <c r="H166" t="s">
        <v>342</v>
      </c>
      <c r="I166">
        <v>14.75</v>
      </c>
      <c r="J166" s="22" t="s">
        <v>18</v>
      </c>
      <c r="K166" s="22" t="s">
        <v>19</v>
      </c>
      <c r="L166" s="21">
        <v>45444</v>
      </c>
      <c r="M166">
        <v>6</v>
      </c>
      <c r="N166">
        <v>2024</v>
      </c>
      <c r="O166">
        <v>25</v>
      </c>
      <c r="P166">
        <v>152.63300000000001</v>
      </c>
    </row>
    <row r="167" spans="1:16" x14ac:dyDescent="0.25">
      <c r="A167">
        <v>254</v>
      </c>
      <c r="B167" s="21">
        <v>45462</v>
      </c>
      <c r="C167" t="s">
        <v>340</v>
      </c>
      <c r="D167" s="22" t="s">
        <v>207</v>
      </c>
      <c r="E167" s="22" t="s">
        <v>61</v>
      </c>
      <c r="F167" s="22" t="s">
        <v>57</v>
      </c>
      <c r="G167">
        <v>32.9</v>
      </c>
      <c r="H167" t="s">
        <v>342</v>
      </c>
      <c r="I167">
        <v>16.45</v>
      </c>
      <c r="J167" s="22" t="s">
        <v>45</v>
      </c>
      <c r="K167" s="22" t="s">
        <v>32</v>
      </c>
      <c r="L167" s="21">
        <v>45444</v>
      </c>
      <c r="M167">
        <v>6</v>
      </c>
      <c r="N167">
        <v>2024</v>
      </c>
      <c r="O167">
        <v>5</v>
      </c>
      <c r="P167">
        <v>170.422</v>
      </c>
    </row>
    <row r="168" spans="1:16" x14ac:dyDescent="0.25">
      <c r="A168">
        <v>43</v>
      </c>
      <c r="B168" s="21">
        <v>45461</v>
      </c>
      <c r="C168" t="s">
        <v>340</v>
      </c>
      <c r="D168" s="22" t="s">
        <v>184</v>
      </c>
      <c r="E168" s="22" t="s">
        <v>23</v>
      </c>
      <c r="F168" s="22" t="s">
        <v>185</v>
      </c>
      <c r="G168">
        <v>4.9000000000000004</v>
      </c>
      <c r="H168" t="s">
        <v>342</v>
      </c>
      <c r="I168">
        <v>0</v>
      </c>
      <c r="J168" s="22" t="s">
        <v>31</v>
      </c>
      <c r="K168" s="22" t="s">
        <v>26</v>
      </c>
      <c r="L168" s="21">
        <v>45444</v>
      </c>
      <c r="M168">
        <v>6</v>
      </c>
      <c r="N168">
        <v>2024</v>
      </c>
      <c r="O168">
        <v>17</v>
      </c>
      <c r="P168">
        <v>83.300000000000011</v>
      </c>
    </row>
    <row r="169" spans="1:16" x14ac:dyDescent="0.25">
      <c r="A169">
        <v>212</v>
      </c>
      <c r="B169" s="21">
        <v>45460</v>
      </c>
      <c r="C169" t="s">
        <v>340</v>
      </c>
      <c r="D169" s="22" t="s">
        <v>82</v>
      </c>
      <c r="E169" s="22" t="s">
        <v>35</v>
      </c>
      <c r="F169" s="22" t="s">
        <v>36</v>
      </c>
      <c r="G169">
        <v>14.9</v>
      </c>
      <c r="H169" t="s">
        <v>342</v>
      </c>
      <c r="I169">
        <v>41.72</v>
      </c>
      <c r="J169" s="22" t="s">
        <v>18</v>
      </c>
      <c r="K169" s="22" t="s">
        <v>19</v>
      </c>
      <c r="L169" s="21">
        <v>45444</v>
      </c>
      <c r="M169">
        <v>6</v>
      </c>
      <c r="N169">
        <v>2024</v>
      </c>
      <c r="O169">
        <v>25</v>
      </c>
      <c r="P169">
        <v>375.48</v>
      </c>
    </row>
    <row r="170" spans="1:16" x14ac:dyDescent="0.25">
      <c r="A170">
        <v>234</v>
      </c>
      <c r="B170" s="21">
        <v>45459</v>
      </c>
      <c r="C170" t="s">
        <v>340</v>
      </c>
      <c r="D170" s="22" t="s">
        <v>103</v>
      </c>
      <c r="E170" s="22" t="s">
        <v>35</v>
      </c>
      <c r="F170" s="22" t="s">
        <v>95</v>
      </c>
      <c r="G170">
        <v>54.9</v>
      </c>
      <c r="H170" t="s">
        <v>342</v>
      </c>
      <c r="I170">
        <v>0</v>
      </c>
      <c r="J170" s="22" t="s">
        <v>45</v>
      </c>
      <c r="K170" s="22" t="s">
        <v>32</v>
      </c>
      <c r="L170" s="21">
        <v>45444</v>
      </c>
      <c r="M170">
        <v>6</v>
      </c>
      <c r="N170">
        <v>2024</v>
      </c>
      <c r="O170">
        <v>14</v>
      </c>
      <c r="P170">
        <v>768.6</v>
      </c>
    </row>
    <row r="171" spans="1:16" x14ac:dyDescent="0.25">
      <c r="A171">
        <v>18</v>
      </c>
      <c r="B171" s="21">
        <v>45458</v>
      </c>
      <c r="C171" t="s">
        <v>340</v>
      </c>
      <c r="D171" s="22" t="s">
        <v>204</v>
      </c>
      <c r="E171" s="22" t="s">
        <v>23</v>
      </c>
      <c r="F171" s="22" t="s">
        <v>49</v>
      </c>
      <c r="G171">
        <v>3.5</v>
      </c>
      <c r="H171" t="s">
        <v>342</v>
      </c>
      <c r="I171">
        <v>0</v>
      </c>
      <c r="J171" s="22" t="s">
        <v>31</v>
      </c>
      <c r="K171" s="22" t="s">
        <v>19</v>
      </c>
      <c r="L171" s="21">
        <v>45444</v>
      </c>
      <c r="M171">
        <v>6</v>
      </c>
      <c r="N171">
        <v>2024</v>
      </c>
      <c r="O171">
        <v>8</v>
      </c>
      <c r="P171">
        <v>28</v>
      </c>
    </row>
    <row r="172" spans="1:16" x14ac:dyDescent="0.25">
      <c r="A172">
        <v>287</v>
      </c>
      <c r="B172" s="21">
        <v>45458</v>
      </c>
      <c r="C172" t="s">
        <v>340</v>
      </c>
      <c r="D172" s="22" t="s">
        <v>73</v>
      </c>
      <c r="E172" s="22" t="s">
        <v>74</v>
      </c>
      <c r="F172" s="22" t="s">
        <v>17</v>
      </c>
      <c r="G172">
        <v>2.9</v>
      </c>
      <c r="H172" t="s">
        <v>342</v>
      </c>
      <c r="I172">
        <v>0</v>
      </c>
      <c r="J172" s="22" t="s">
        <v>25</v>
      </c>
      <c r="K172" s="22" t="s">
        <v>32</v>
      </c>
      <c r="L172" s="21">
        <v>45444</v>
      </c>
      <c r="M172">
        <v>6</v>
      </c>
      <c r="N172">
        <v>2024</v>
      </c>
      <c r="O172">
        <v>20</v>
      </c>
      <c r="P172">
        <v>58</v>
      </c>
    </row>
    <row r="173" spans="1:16" x14ac:dyDescent="0.25">
      <c r="A173">
        <v>259</v>
      </c>
      <c r="B173" s="21">
        <v>45457</v>
      </c>
      <c r="C173" t="s">
        <v>340</v>
      </c>
      <c r="D173" s="22" t="s">
        <v>175</v>
      </c>
      <c r="E173" s="22" t="s">
        <v>23</v>
      </c>
      <c r="F173" s="22" t="s">
        <v>24</v>
      </c>
      <c r="G173">
        <v>8.5</v>
      </c>
      <c r="H173" t="s">
        <v>342</v>
      </c>
      <c r="I173">
        <v>0</v>
      </c>
      <c r="J173" s="22" t="s">
        <v>25</v>
      </c>
      <c r="K173" s="22" t="s">
        <v>32</v>
      </c>
      <c r="L173" s="21">
        <v>45444</v>
      </c>
      <c r="M173">
        <v>6</v>
      </c>
      <c r="N173">
        <v>2024</v>
      </c>
      <c r="O173">
        <v>6</v>
      </c>
      <c r="P173">
        <v>51</v>
      </c>
    </row>
    <row r="174" spans="1:16" x14ac:dyDescent="0.25">
      <c r="A174">
        <v>101</v>
      </c>
      <c r="B174" s="21">
        <v>45456</v>
      </c>
      <c r="C174" t="s">
        <v>340</v>
      </c>
      <c r="D174" s="22" t="s">
        <v>55</v>
      </c>
      <c r="E174" s="22" t="s">
        <v>56</v>
      </c>
      <c r="F174" s="22" t="s">
        <v>57</v>
      </c>
      <c r="G174">
        <v>22.9</v>
      </c>
      <c r="H174" t="s">
        <v>342</v>
      </c>
      <c r="I174">
        <v>17.18</v>
      </c>
      <c r="J174" s="22" t="s">
        <v>40</v>
      </c>
      <c r="K174" s="22" t="s">
        <v>32</v>
      </c>
      <c r="L174" s="21">
        <v>45444</v>
      </c>
      <c r="M174">
        <v>6</v>
      </c>
      <c r="N174">
        <v>2024</v>
      </c>
      <c r="O174">
        <v>14</v>
      </c>
      <c r="P174">
        <v>326.32499999999999</v>
      </c>
    </row>
    <row r="175" spans="1:16" x14ac:dyDescent="0.25">
      <c r="A175">
        <v>205</v>
      </c>
      <c r="B175" s="21">
        <v>45456</v>
      </c>
      <c r="C175" t="s">
        <v>340</v>
      </c>
      <c r="D175" s="22" t="s">
        <v>132</v>
      </c>
      <c r="E175" s="22" t="s">
        <v>61</v>
      </c>
      <c r="F175" s="22" t="s">
        <v>343</v>
      </c>
      <c r="G175">
        <v>4.2</v>
      </c>
      <c r="H175" t="s">
        <v>342</v>
      </c>
      <c r="I175">
        <v>0</v>
      </c>
      <c r="J175" s="22" t="s">
        <v>50</v>
      </c>
      <c r="K175" s="22" t="s">
        <v>19</v>
      </c>
      <c r="L175" s="21">
        <v>45444</v>
      </c>
      <c r="M175">
        <v>6</v>
      </c>
      <c r="N175">
        <v>2024</v>
      </c>
      <c r="O175">
        <v>23</v>
      </c>
      <c r="P175">
        <v>96.600000000000009</v>
      </c>
    </row>
    <row r="176" spans="1:16" x14ac:dyDescent="0.25">
      <c r="A176">
        <v>265</v>
      </c>
      <c r="B176" s="21">
        <v>45456</v>
      </c>
      <c r="C176" t="s">
        <v>340</v>
      </c>
      <c r="D176" s="22" t="s">
        <v>118</v>
      </c>
      <c r="E176" s="22" t="s">
        <v>16</v>
      </c>
      <c r="F176" s="22" t="s">
        <v>119</v>
      </c>
      <c r="G176">
        <v>2.5</v>
      </c>
      <c r="H176" t="s">
        <v>342</v>
      </c>
      <c r="I176">
        <v>0</v>
      </c>
      <c r="J176" s="22" t="s">
        <v>45</v>
      </c>
      <c r="K176" s="22" t="s">
        <v>19</v>
      </c>
      <c r="L176" s="21">
        <v>45444</v>
      </c>
      <c r="M176">
        <v>6</v>
      </c>
      <c r="N176">
        <v>2024</v>
      </c>
      <c r="O176">
        <v>5</v>
      </c>
      <c r="P176">
        <v>12.5</v>
      </c>
    </row>
    <row r="177" spans="1:16" x14ac:dyDescent="0.25">
      <c r="A177">
        <v>116</v>
      </c>
      <c r="B177" s="21">
        <v>45455</v>
      </c>
      <c r="C177" t="s">
        <v>340</v>
      </c>
      <c r="D177" s="22" t="s">
        <v>122</v>
      </c>
      <c r="E177" s="22" t="s">
        <v>74</v>
      </c>
      <c r="F177" s="22" t="s">
        <v>57</v>
      </c>
      <c r="G177">
        <v>7.9</v>
      </c>
      <c r="H177" t="s">
        <v>342</v>
      </c>
      <c r="I177">
        <v>0</v>
      </c>
      <c r="J177" s="22" t="s">
        <v>45</v>
      </c>
      <c r="K177" s="22" t="s">
        <v>32</v>
      </c>
      <c r="L177" s="21">
        <v>45444</v>
      </c>
      <c r="M177">
        <v>6</v>
      </c>
      <c r="N177">
        <v>2024</v>
      </c>
      <c r="O177">
        <v>3</v>
      </c>
      <c r="P177">
        <v>23.700000000000003</v>
      </c>
    </row>
    <row r="178" spans="1:16" x14ac:dyDescent="0.25">
      <c r="A178">
        <v>189</v>
      </c>
      <c r="B178" s="21">
        <v>45453</v>
      </c>
      <c r="C178" t="s">
        <v>340</v>
      </c>
      <c r="D178" s="22" t="s">
        <v>60</v>
      </c>
      <c r="E178" s="22" t="s">
        <v>61</v>
      </c>
      <c r="F178" s="22" t="s">
        <v>62</v>
      </c>
      <c r="G178">
        <v>12.9</v>
      </c>
      <c r="H178" t="s">
        <v>342</v>
      </c>
      <c r="I178">
        <v>0</v>
      </c>
      <c r="J178" s="22" t="s">
        <v>18</v>
      </c>
      <c r="K178" s="22" t="s">
        <v>26</v>
      </c>
      <c r="L178" s="21">
        <v>45444</v>
      </c>
      <c r="M178">
        <v>6</v>
      </c>
      <c r="N178">
        <v>2024</v>
      </c>
      <c r="O178">
        <v>11</v>
      </c>
      <c r="P178">
        <v>141.9</v>
      </c>
    </row>
    <row r="179" spans="1:16" x14ac:dyDescent="0.25">
      <c r="A179">
        <v>63</v>
      </c>
      <c r="B179" s="21">
        <v>45453</v>
      </c>
      <c r="C179" t="s">
        <v>340</v>
      </c>
      <c r="D179" s="22" t="s">
        <v>60</v>
      </c>
      <c r="E179" s="22" t="s">
        <v>61</v>
      </c>
      <c r="F179" s="22" t="s">
        <v>62</v>
      </c>
      <c r="G179">
        <v>12.9</v>
      </c>
      <c r="H179" t="s">
        <v>342</v>
      </c>
      <c r="I179">
        <v>0</v>
      </c>
      <c r="J179" s="22" t="s">
        <v>45</v>
      </c>
      <c r="K179" s="22" t="s">
        <v>19</v>
      </c>
      <c r="L179" s="21">
        <v>45444</v>
      </c>
      <c r="M179">
        <v>6</v>
      </c>
      <c r="N179">
        <v>2024</v>
      </c>
      <c r="O179">
        <v>7</v>
      </c>
      <c r="P179">
        <v>90.3</v>
      </c>
    </row>
    <row r="180" spans="1:16" x14ac:dyDescent="0.25">
      <c r="A180">
        <v>277</v>
      </c>
      <c r="B180" s="21">
        <v>45451</v>
      </c>
      <c r="C180" t="s">
        <v>340</v>
      </c>
      <c r="D180" s="22" t="s">
        <v>144</v>
      </c>
      <c r="E180" s="22" t="s">
        <v>29</v>
      </c>
      <c r="F180" s="22" t="s">
        <v>145</v>
      </c>
      <c r="G180">
        <v>3.9</v>
      </c>
      <c r="H180" t="s">
        <v>342</v>
      </c>
      <c r="I180">
        <v>1.56</v>
      </c>
      <c r="J180" s="22" t="s">
        <v>50</v>
      </c>
      <c r="K180" s="22" t="s">
        <v>32</v>
      </c>
      <c r="L180" s="21">
        <v>45444</v>
      </c>
      <c r="M180">
        <v>6</v>
      </c>
      <c r="N180">
        <v>2024</v>
      </c>
      <c r="O180">
        <v>3</v>
      </c>
      <c r="P180">
        <v>14.04</v>
      </c>
    </row>
    <row r="181" spans="1:16" x14ac:dyDescent="0.25">
      <c r="A181">
        <v>245</v>
      </c>
      <c r="B181" s="21">
        <v>45447</v>
      </c>
      <c r="C181" t="s">
        <v>340</v>
      </c>
      <c r="D181" s="22" t="s">
        <v>70</v>
      </c>
      <c r="E181" s="22" t="s">
        <v>56</v>
      </c>
      <c r="F181" s="22" t="s">
        <v>57</v>
      </c>
      <c r="G181">
        <v>32.9</v>
      </c>
      <c r="H181" t="s">
        <v>342</v>
      </c>
      <c r="I181">
        <v>0</v>
      </c>
      <c r="J181" s="22" t="s">
        <v>45</v>
      </c>
      <c r="K181" s="22" t="s">
        <v>26</v>
      </c>
      <c r="L181" s="21">
        <v>45444</v>
      </c>
      <c r="M181">
        <v>6</v>
      </c>
      <c r="N181">
        <v>2024</v>
      </c>
      <c r="O181">
        <v>4</v>
      </c>
      <c r="P181">
        <v>131.6</v>
      </c>
    </row>
    <row r="182" spans="1:16" x14ac:dyDescent="0.25">
      <c r="A182">
        <v>166</v>
      </c>
      <c r="B182" s="21">
        <v>45447</v>
      </c>
      <c r="C182" t="s">
        <v>340</v>
      </c>
      <c r="D182" s="22" t="s">
        <v>85</v>
      </c>
      <c r="E182" s="22" t="s">
        <v>23</v>
      </c>
      <c r="F182" s="22" t="s">
        <v>86</v>
      </c>
      <c r="G182">
        <v>7.9</v>
      </c>
      <c r="H182" t="s">
        <v>342</v>
      </c>
      <c r="I182">
        <v>0</v>
      </c>
      <c r="J182" s="22" t="s">
        <v>50</v>
      </c>
      <c r="K182" s="22" t="s">
        <v>19</v>
      </c>
      <c r="L182" s="21">
        <v>45444</v>
      </c>
      <c r="M182">
        <v>6</v>
      </c>
      <c r="N182">
        <v>2024</v>
      </c>
      <c r="O182">
        <v>8</v>
      </c>
      <c r="P182">
        <v>63.2</v>
      </c>
    </row>
    <row r="183" spans="1:16" x14ac:dyDescent="0.25">
      <c r="A183">
        <v>99</v>
      </c>
      <c r="B183" s="21">
        <v>45446</v>
      </c>
      <c r="C183" t="s">
        <v>340</v>
      </c>
      <c r="D183" s="22" t="s">
        <v>67</v>
      </c>
      <c r="E183" s="22" t="s">
        <v>68</v>
      </c>
      <c r="F183" s="22" t="s">
        <v>49</v>
      </c>
      <c r="G183">
        <v>8.9</v>
      </c>
      <c r="H183" t="s">
        <v>342</v>
      </c>
      <c r="I183">
        <v>0</v>
      </c>
      <c r="J183" s="22" t="s">
        <v>31</v>
      </c>
      <c r="K183" s="22" t="s">
        <v>19</v>
      </c>
      <c r="L183" s="21">
        <v>45444</v>
      </c>
      <c r="M183">
        <v>6</v>
      </c>
      <c r="N183">
        <v>2024</v>
      </c>
      <c r="O183">
        <v>18</v>
      </c>
      <c r="P183">
        <v>160.20000000000002</v>
      </c>
    </row>
    <row r="184" spans="1:16" x14ac:dyDescent="0.25">
      <c r="A184">
        <v>70</v>
      </c>
      <c r="B184" s="21">
        <v>45445</v>
      </c>
      <c r="C184" t="s">
        <v>340</v>
      </c>
      <c r="D184" s="22" t="s">
        <v>15</v>
      </c>
      <c r="E184" s="22" t="s">
        <v>16</v>
      </c>
      <c r="F184" s="22" t="s">
        <v>17</v>
      </c>
      <c r="G184">
        <v>3.9</v>
      </c>
      <c r="H184" t="s">
        <v>342</v>
      </c>
      <c r="I184">
        <v>0</v>
      </c>
      <c r="J184" s="22" t="s">
        <v>31</v>
      </c>
      <c r="K184" s="22" t="s">
        <v>32</v>
      </c>
      <c r="L184" s="21">
        <v>45444</v>
      </c>
      <c r="M184">
        <v>6</v>
      </c>
      <c r="N184">
        <v>2024</v>
      </c>
      <c r="O184">
        <v>4</v>
      </c>
      <c r="P184">
        <v>15.6</v>
      </c>
    </row>
    <row r="185" spans="1:16" x14ac:dyDescent="0.25">
      <c r="A185">
        <v>227</v>
      </c>
      <c r="B185" s="21">
        <v>45443</v>
      </c>
      <c r="C185" t="s">
        <v>340</v>
      </c>
      <c r="D185" s="22" t="s">
        <v>175</v>
      </c>
      <c r="E185" s="22" t="s">
        <v>23</v>
      </c>
      <c r="F185" s="22" t="s">
        <v>24</v>
      </c>
      <c r="G185">
        <v>8.5</v>
      </c>
      <c r="H185" t="s">
        <v>342</v>
      </c>
      <c r="I185">
        <v>11.48</v>
      </c>
      <c r="J185" s="22" t="s">
        <v>31</v>
      </c>
      <c r="K185" s="22" t="s">
        <v>32</v>
      </c>
      <c r="L185" s="21">
        <v>45413</v>
      </c>
      <c r="M185">
        <v>5</v>
      </c>
      <c r="N185">
        <v>2024</v>
      </c>
      <c r="O185">
        <v>25</v>
      </c>
      <c r="P185">
        <v>218.02499999999998</v>
      </c>
    </row>
    <row r="186" spans="1:16" x14ac:dyDescent="0.25">
      <c r="A186">
        <v>11</v>
      </c>
      <c r="B186" s="21">
        <v>45442</v>
      </c>
      <c r="C186" t="s">
        <v>340</v>
      </c>
      <c r="D186" s="22" t="s">
        <v>39</v>
      </c>
      <c r="E186" s="22" t="s">
        <v>16</v>
      </c>
      <c r="F186" s="22" t="s">
        <v>343</v>
      </c>
      <c r="G186">
        <v>12.9</v>
      </c>
      <c r="H186" t="s">
        <v>342</v>
      </c>
      <c r="I186">
        <v>0</v>
      </c>
      <c r="J186" s="22" t="s">
        <v>50</v>
      </c>
      <c r="K186" s="22" t="s">
        <v>32</v>
      </c>
      <c r="L186" s="21">
        <v>45413</v>
      </c>
      <c r="M186">
        <v>5</v>
      </c>
      <c r="N186">
        <v>2024</v>
      </c>
      <c r="O186">
        <v>20</v>
      </c>
      <c r="P186">
        <v>258</v>
      </c>
    </row>
    <row r="187" spans="1:16" x14ac:dyDescent="0.25">
      <c r="A187">
        <v>152</v>
      </c>
      <c r="B187" s="21">
        <v>45442</v>
      </c>
      <c r="C187" t="s">
        <v>340</v>
      </c>
      <c r="D187" s="22" t="s">
        <v>112</v>
      </c>
      <c r="E187" s="22" t="s">
        <v>61</v>
      </c>
      <c r="F187" s="22" t="s">
        <v>113</v>
      </c>
      <c r="G187">
        <v>4.9000000000000004</v>
      </c>
      <c r="H187" t="s">
        <v>342</v>
      </c>
      <c r="I187">
        <v>0</v>
      </c>
      <c r="J187" s="22" t="s">
        <v>31</v>
      </c>
      <c r="K187" s="22" t="s">
        <v>26</v>
      </c>
      <c r="L187" s="21">
        <v>45413</v>
      </c>
      <c r="M187">
        <v>5</v>
      </c>
      <c r="N187">
        <v>2024</v>
      </c>
      <c r="O187">
        <v>13</v>
      </c>
      <c r="P187">
        <v>63.7</v>
      </c>
    </row>
    <row r="188" spans="1:16" x14ac:dyDescent="0.25">
      <c r="A188">
        <v>103</v>
      </c>
      <c r="B188" s="21">
        <v>45437</v>
      </c>
      <c r="C188" t="s">
        <v>340</v>
      </c>
      <c r="D188" s="22" t="s">
        <v>88</v>
      </c>
      <c r="E188" s="22" t="s">
        <v>56</v>
      </c>
      <c r="F188" s="22" t="s">
        <v>57</v>
      </c>
      <c r="G188">
        <v>24.9</v>
      </c>
      <c r="H188" t="s">
        <v>342</v>
      </c>
      <c r="I188">
        <v>54.78</v>
      </c>
      <c r="J188" s="22" t="s">
        <v>31</v>
      </c>
      <c r="K188" s="22" t="s">
        <v>32</v>
      </c>
      <c r="L188" s="21">
        <v>45413</v>
      </c>
      <c r="M188">
        <v>5</v>
      </c>
      <c r="N188">
        <v>2024</v>
      </c>
      <c r="O188">
        <v>19</v>
      </c>
      <c r="P188">
        <v>493.02</v>
      </c>
    </row>
    <row r="189" spans="1:16" x14ac:dyDescent="0.25">
      <c r="A189">
        <v>174</v>
      </c>
      <c r="B189" s="21">
        <v>45436</v>
      </c>
      <c r="C189" t="s">
        <v>340</v>
      </c>
      <c r="D189" s="22" t="s">
        <v>34</v>
      </c>
      <c r="E189" s="22" t="s">
        <v>35</v>
      </c>
      <c r="F189" s="22" t="s">
        <v>36</v>
      </c>
      <c r="G189">
        <v>14.9</v>
      </c>
      <c r="H189" t="s">
        <v>342</v>
      </c>
      <c r="I189">
        <v>20.86</v>
      </c>
      <c r="J189" s="22" t="s">
        <v>25</v>
      </c>
      <c r="K189" s="22" t="s">
        <v>26</v>
      </c>
      <c r="L189" s="21">
        <v>45413</v>
      </c>
      <c r="M189">
        <v>5</v>
      </c>
      <c r="N189">
        <v>2024</v>
      </c>
      <c r="O189">
        <v>26</v>
      </c>
      <c r="P189">
        <v>396.34000000000003</v>
      </c>
    </row>
    <row r="190" spans="1:16" x14ac:dyDescent="0.25">
      <c r="A190">
        <v>202</v>
      </c>
      <c r="B190" s="21">
        <v>45436</v>
      </c>
      <c r="C190" t="s">
        <v>340</v>
      </c>
      <c r="D190" s="22" t="s">
        <v>159</v>
      </c>
      <c r="E190" s="22" t="s">
        <v>35</v>
      </c>
      <c r="F190" s="22" t="s">
        <v>137</v>
      </c>
      <c r="G190">
        <v>5.9</v>
      </c>
      <c r="H190" t="s">
        <v>342</v>
      </c>
      <c r="I190">
        <v>5.9</v>
      </c>
      <c r="J190" s="22" t="s">
        <v>50</v>
      </c>
      <c r="K190" s="22" t="s">
        <v>26</v>
      </c>
      <c r="L190" s="21">
        <v>45413</v>
      </c>
      <c r="M190">
        <v>5</v>
      </c>
      <c r="N190">
        <v>2024</v>
      </c>
      <c r="O190">
        <v>9</v>
      </c>
      <c r="P190">
        <v>53.1</v>
      </c>
    </row>
    <row r="191" spans="1:16" x14ac:dyDescent="0.25">
      <c r="A191">
        <v>148</v>
      </c>
      <c r="B191" s="21">
        <v>45435</v>
      </c>
      <c r="C191" t="s">
        <v>340</v>
      </c>
      <c r="D191" s="22" t="s">
        <v>118</v>
      </c>
      <c r="E191" s="22" t="s">
        <v>16</v>
      </c>
      <c r="F191" s="22" t="s">
        <v>119</v>
      </c>
      <c r="G191">
        <v>2.5</v>
      </c>
      <c r="H191" t="s">
        <v>342</v>
      </c>
      <c r="I191">
        <v>0</v>
      </c>
      <c r="J191" s="22" t="s">
        <v>50</v>
      </c>
      <c r="K191" s="22" t="s">
        <v>32</v>
      </c>
      <c r="L191" s="21">
        <v>45413</v>
      </c>
      <c r="M191">
        <v>5</v>
      </c>
      <c r="N191">
        <v>2024</v>
      </c>
      <c r="O191">
        <v>23</v>
      </c>
      <c r="P191">
        <v>57.5</v>
      </c>
    </row>
    <row r="192" spans="1:16" x14ac:dyDescent="0.25">
      <c r="A192">
        <v>252</v>
      </c>
      <c r="B192" s="21">
        <v>45433</v>
      </c>
      <c r="C192" t="s">
        <v>340</v>
      </c>
      <c r="D192" s="22" t="s">
        <v>132</v>
      </c>
      <c r="E192" s="22" t="s">
        <v>61</v>
      </c>
      <c r="F192" s="22" t="s">
        <v>343</v>
      </c>
      <c r="G192">
        <v>4.2</v>
      </c>
      <c r="H192" t="s">
        <v>342</v>
      </c>
      <c r="I192">
        <v>0.84</v>
      </c>
      <c r="J192" s="22" t="s">
        <v>25</v>
      </c>
      <c r="K192" s="22" t="s">
        <v>26</v>
      </c>
      <c r="L192" s="21">
        <v>45413</v>
      </c>
      <c r="M192">
        <v>5</v>
      </c>
      <c r="N192">
        <v>2024</v>
      </c>
      <c r="O192">
        <v>3</v>
      </c>
      <c r="P192">
        <v>15.959999999999999</v>
      </c>
    </row>
    <row r="193" spans="1:16" x14ac:dyDescent="0.25">
      <c r="A193">
        <v>180</v>
      </c>
      <c r="B193" s="21">
        <v>45431</v>
      </c>
      <c r="C193" t="s">
        <v>340</v>
      </c>
      <c r="D193" s="22" t="s">
        <v>88</v>
      </c>
      <c r="E193" s="22" t="s">
        <v>56</v>
      </c>
      <c r="F193" s="22" t="s">
        <v>57</v>
      </c>
      <c r="G193">
        <v>24.9</v>
      </c>
      <c r="H193" t="s">
        <v>342</v>
      </c>
      <c r="I193">
        <v>22.41</v>
      </c>
      <c r="J193" s="22" t="s">
        <v>18</v>
      </c>
      <c r="K193" s="22" t="s">
        <v>32</v>
      </c>
      <c r="L193" s="21">
        <v>45413</v>
      </c>
      <c r="M193">
        <v>5</v>
      </c>
      <c r="N193">
        <v>2024</v>
      </c>
      <c r="O193">
        <v>17</v>
      </c>
      <c r="P193">
        <v>425.79</v>
      </c>
    </row>
    <row r="194" spans="1:16" x14ac:dyDescent="0.25">
      <c r="A194">
        <v>198</v>
      </c>
      <c r="B194" s="21">
        <v>45431</v>
      </c>
      <c r="C194" t="s">
        <v>340</v>
      </c>
      <c r="D194" s="22" t="s">
        <v>134</v>
      </c>
      <c r="E194" s="22" t="s">
        <v>68</v>
      </c>
      <c r="F194" s="22" t="s">
        <v>17</v>
      </c>
      <c r="G194">
        <v>0.75</v>
      </c>
      <c r="H194" t="s">
        <v>342</v>
      </c>
      <c r="I194">
        <v>1.01</v>
      </c>
      <c r="J194" s="22" t="s">
        <v>18</v>
      </c>
      <c r="K194" s="22" t="s">
        <v>32</v>
      </c>
      <c r="L194" s="21">
        <v>45413</v>
      </c>
      <c r="M194">
        <v>5</v>
      </c>
      <c r="N194">
        <v>2024</v>
      </c>
      <c r="O194">
        <v>25</v>
      </c>
      <c r="P194">
        <v>19.237499999999997</v>
      </c>
    </row>
    <row r="195" spans="1:16" x14ac:dyDescent="0.25">
      <c r="A195">
        <v>289</v>
      </c>
      <c r="B195" s="21">
        <v>45431</v>
      </c>
      <c r="C195" t="s">
        <v>340</v>
      </c>
      <c r="D195" s="22" t="s">
        <v>139</v>
      </c>
      <c r="E195" s="22" t="s">
        <v>68</v>
      </c>
      <c r="F195" s="22" t="s">
        <v>17</v>
      </c>
      <c r="G195">
        <v>4.5</v>
      </c>
      <c r="H195" t="s">
        <v>342</v>
      </c>
      <c r="I195">
        <v>4.95</v>
      </c>
      <c r="J195" s="22" t="s">
        <v>18</v>
      </c>
      <c r="K195" s="22" t="s">
        <v>26</v>
      </c>
      <c r="L195" s="21">
        <v>45413</v>
      </c>
      <c r="M195">
        <v>5</v>
      </c>
      <c r="N195">
        <v>2024</v>
      </c>
      <c r="O195">
        <v>20</v>
      </c>
      <c r="P195">
        <v>94.05</v>
      </c>
    </row>
    <row r="196" spans="1:16" x14ac:dyDescent="0.25">
      <c r="A196">
        <v>19</v>
      </c>
      <c r="B196" s="21">
        <v>45429</v>
      </c>
      <c r="C196" t="s">
        <v>340</v>
      </c>
      <c r="D196" s="22" t="s">
        <v>184</v>
      </c>
      <c r="E196" s="22" t="s">
        <v>23</v>
      </c>
      <c r="F196" s="22" t="s">
        <v>185</v>
      </c>
      <c r="G196">
        <v>4.9000000000000004</v>
      </c>
      <c r="H196" t="s">
        <v>342</v>
      </c>
      <c r="I196">
        <v>3.43</v>
      </c>
      <c r="J196" s="22" t="s">
        <v>40</v>
      </c>
      <c r="K196" s="22" t="s">
        <v>19</v>
      </c>
      <c r="L196" s="21">
        <v>45413</v>
      </c>
      <c r="M196">
        <v>5</v>
      </c>
      <c r="N196">
        <v>2024</v>
      </c>
      <c r="O196">
        <v>6</v>
      </c>
      <c r="P196">
        <v>30.87</v>
      </c>
    </row>
    <row r="197" spans="1:16" x14ac:dyDescent="0.25">
      <c r="A197">
        <v>282</v>
      </c>
      <c r="B197" s="21">
        <v>45428</v>
      </c>
      <c r="C197" t="s">
        <v>340</v>
      </c>
      <c r="D197" s="22" t="s">
        <v>175</v>
      </c>
      <c r="E197" s="22" t="s">
        <v>23</v>
      </c>
      <c r="F197" s="22" t="s">
        <v>24</v>
      </c>
      <c r="G197">
        <v>8.5</v>
      </c>
      <c r="H197" t="s">
        <v>342</v>
      </c>
      <c r="I197">
        <v>0</v>
      </c>
      <c r="J197" s="22" t="s">
        <v>40</v>
      </c>
      <c r="K197" s="22" t="s">
        <v>19</v>
      </c>
      <c r="L197" s="21">
        <v>45413</v>
      </c>
      <c r="M197">
        <v>5</v>
      </c>
      <c r="N197">
        <v>2024</v>
      </c>
      <c r="O197">
        <v>6</v>
      </c>
      <c r="P197">
        <v>51</v>
      </c>
    </row>
    <row r="198" spans="1:16" x14ac:dyDescent="0.25">
      <c r="A198">
        <v>177</v>
      </c>
      <c r="B198" s="21">
        <v>45428</v>
      </c>
      <c r="C198" t="s">
        <v>340</v>
      </c>
      <c r="D198" s="22" t="s">
        <v>115</v>
      </c>
      <c r="E198" s="22" t="s">
        <v>23</v>
      </c>
      <c r="F198" s="22" t="s">
        <v>116</v>
      </c>
      <c r="G198">
        <v>12.5</v>
      </c>
      <c r="H198" t="s">
        <v>342</v>
      </c>
      <c r="I198">
        <v>0</v>
      </c>
      <c r="J198" s="22" t="s">
        <v>45</v>
      </c>
      <c r="K198" s="22" t="s">
        <v>19</v>
      </c>
      <c r="L198" s="21">
        <v>45413</v>
      </c>
      <c r="M198">
        <v>5</v>
      </c>
      <c r="N198">
        <v>2024</v>
      </c>
      <c r="O198">
        <v>3</v>
      </c>
      <c r="P198">
        <v>37.5</v>
      </c>
    </row>
    <row r="199" spans="1:16" x14ac:dyDescent="0.25">
      <c r="A199">
        <v>28</v>
      </c>
      <c r="B199" s="21">
        <v>45428</v>
      </c>
      <c r="C199" t="s">
        <v>340</v>
      </c>
      <c r="D199" s="22" t="s">
        <v>161</v>
      </c>
      <c r="E199" s="22" t="s">
        <v>16</v>
      </c>
      <c r="F199" s="22" t="s">
        <v>119</v>
      </c>
      <c r="G199">
        <v>5.9</v>
      </c>
      <c r="H199" t="s">
        <v>342</v>
      </c>
      <c r="I199">
        <v>0</v>
      </c>
      <c r="J199" s="22" t="s">
        <v>31</v>
      </c>
      <c r="K199" s="22" t="s">
        <v>19</v>
      </c>
      <c r="L199" s="21">
        <v>45413</v>
      </c>
      <c r="M199">
        <v>5</v>
      </c>
      <c r="N199">
        <v>2024</v>
      </c>
      <c r="O199">
        <v>11</v>
      </c>
      <c r="P199">
        <v>64.900000000000006</v>
      </c>
    </row>
    <row r="200" spans="1:16" x14ac:dyDescent="0.25">
      <c r="A200">
        <v>15</v>
      </c>
      <c r="B200" s="21">
        <v>45428</v>
      </c>
      <c r="C200" t="s">
        <v>340</v>
      </c>
      <c r="D200" s="22" t="s">
        <v>34</v>
      </c>
      <c r="E200" s="22" t="s">
        <v>35</v>
      </c>
      <c r="F200" s="22" t="s">
        <v>36</v>
      </c>
      <c r="G200">
        <v>14.9</v>
      </c>
      <c r="H200" t="s">
        <v>342</v>
      </c>
      <c r="I200">
        <v>0</v>
      </c>
      <c r="J200" s="22" t="s">
        <v>50</v>
      </c>
      <c r="K200" s="22" t="s">
        <v>26</v>
      </c>
      <c r="L200" s="21">
        <v>45413</v>
      </c>
      <c r="M200">
        <v>5</v>
      </c>
      <c r="N200">
        <v>2024</v>
      </c>
      <c r="O200">
        <v>30</v>
      </c>
      <c r="P200">
        <v>447</v>
      </c>
    </row>
    <row r="201" spans="1:16" x14ac:dyDescent="0.25">
      <c r="A201">
        <v>211</v>
      </c>
      <c r="B201" s="21">
        <v>45427</v>
      </c>
      <c r="C201" t="s">
        <v>340</v>
      </c>
      <c r="D201" s="22" t="s">
        <v>28</v>
      </c>
      <c r="E201" s="22" t="s">
        <v>29</v>
      </c>
      <c r="F201" s="22" t="s">
        <v>343</v>
      </c>
      <c r="G201">
        <v>5.9</v>
      </c>
      <c r="H201" t="s">
        <v>342</v>
      </c>
      <c r="I201">
        <v>5.9</v>
      </c>
      <c r="J201" s="22" t="s">
        <v>40</v>
      </c>
      <c r="K201" s="22" t="s">
        <v>32</v>
      </c>
      <c r="L201" s="21">
        <v>45413</v>
      </c>
      <c r="M201">
        <v>5</v>
      </c>
      <c r="N201">
        <v>2024</v>
      </c>
      <c r="O201">
        <v>19</v>
      </c>
      <c r="P201">
        <v>112.10000000000001</v>
      </c>
    </row>
    <row r="202" spans="1:16" x14ac:dyDescent="0.25">
      <c r="A202">
        <v>127</v>
      </c>
      <c r="B202" s="21">
        <v>45425</v>
      </c>
      <c r="C202" t="s">
        <v>340</v>
      </c>
      <c r="D202" s="22" t="s">
        <v>150</v>
      </c>
      <c r="E202" s="22" t="s">
        <v>29</v>
      </c>
      <c r="F202" s="22" t="s">
        <v>151</v>
      </c>
      <c r="G202">
        <v>11.9</v>
      </c>
      <c r="H202" t="s">
        <v>342</v>
      </c>
      <c r="I202">
        <v>0</v>
      </c>
      <c r="J202" s="22" t="s">
        <v>18</v>
      </c>
      <c r="K202" s="22" t="s">
        <v>19</v>
      </c>
      <c r="L202" s="21">
        <v>45413</v>
      </c>
      <c r="M202">
        <v>5</v>
      </c>
      <c r="N202">
        <v>2024</v>
      </c>
      <c r="O202">
        <v>11</v>
      </c>
      <c r="P202">
        <v>130.9</v>
      </c>
    </row>
    <row r="203" spans="1:16" x14ac:dyDescent="0.25">
      <c r="A203">
        <v>236</v>
      </c>
      <c r="B203" s="21">
        <v>45423</v>
      </c>
      <c r="C203" t="s">
        <v>340</v>
      </c>
      <c r="D203" s="22" t="s">
        <v>172</v>
      </c>
      <c r="E203" s="22" t="s">
        <v>56</v>
      </c>
      <c r="F203" s="22" t="s">
        <v>57</v>
      </c>
      <c r="G203">
        <v>89.9</v>
      </c>
      <c r="H203" t="s">
        <v>342</v>
      </c>
      <c r="I203">
        <v>0</v>
      </c>
      <c r="J203" s="22" t="s">
        <v>40</v>
      </c>
      <c r="K203" s="22" t="s">
        <v>19</v>
      </c>
      <c r="L203" s="21">
        <v>45413</v>
      </c>
      <c r="M203">
        <v>5</v>
      </c>
      <c r="N203">
        <v>2024</v>
      </c>
      <c r="O203">
        <v>26</v>
      </c>
      <c r="P203">
        <v>2337.4</v>
      </c>
    </row>
    <row r="204" spans="1:16" x14ac:dyDescent="0.25">
      <c r="A204">
        <v>129</v>
      </c>
      <c r="B204" s="21">
        <v>45421</v>
      </c>
      <c r="C204" t="s">
        <v>340</v>
      </c>
      <c r="D204" s="22" t="s">
        <v>85</v>
      </c>
      <c r="E204" s="22" t="s">
        <v>23</v>
      </c>
      <c r="F204" s="22" t="s">
        <v>86</v>
      </c>
      <c r="G204">
        <v>7.9</v>
      </c>
      <c r="H204" t="s">
        <v>342</v>
      </c>
      <c r="I204">
        <v>0</v>
      </c>
      <c r="J204" s="22" t="s">
        <v>40</v>
      </c>
      <c r="K204" s="22" t="s">
        <v>26</v>
      </c>
      <c r="L204" s="21">
        <v>45413</v>
      </c>
      <c r="M204">
        <v>5</v>
      </c>
      <c r="N204">
        <v>2024</v>
      </c>
      <c r="O204">
        <v>16</v>
      </c>
      <c r="P204">
        <v>126.4</v>
      </c>
    </row>
    <row r="205" spans="1:16" x14ac:dyDescent="0.25">
      <c r="A205">
        <v>110</v>
      </c>
      <c r="B205" s="21">
        <v>45419</v>
      </c>
      <c r="C205" t="s">
        <v>340</v>
      </c>
      <c r="D205" s="22" t="s">
        <v>22</v>
      </c>
      <c r="E205" s="22" t="s">
        <v>23</v>
      </c>
      <c r="F205" s="22" t="s">
        <v>24</v>
      </c>
      <c r="G205">
        <v>2.9</v>
      </c>
      <c r="H205" t="s">
        <v>342</v>
      </c>
      <c r="I205">
        <v>0</v>
      </c>
      <c r="J205" s="22" t="s">
        <v>18</v>
      </c>
      <c r="K205" s="22" t="s">
        <v>26</v>
      </c>
      <c r="L205" s="21">
        <v>45413</v>
      </c>
      <c r="M205">
        <v>5</v>
      </c>
      <c r="N205">
        <v>2024</v>
      </c>
      <c r="O205">
        <v>15</v>
      </c>
      <c r="P205">
        <v>43.5</v>
      </c>
    </row>
    <row r="206" spans="1:16" x14ac:dyDescent="0.25">
      <c r="A206">
        <v>40</v>
      </c>
      <c r="B206" s="21">
        <v>45418</v>
      </c>
      <c r="C206" t="s">
        <v>340</v>
      </c>
      <c r="D206" s="22" t="s">
        <v>112</v>
      </c>
      <c r="E206" s="22" t="s">
        <v>61</v>
      </c>
      <c r="F206" s="22" t="s">
        <v>113</v>
      </c>
      <c r="G206">
        <v>4.9000000000000004</v>
      </c>
      <c r="H206" t="s">
        <v>342</v>
      </c>
      <c r="I206">
        <v>0</v>
      </c>
      <c r="J206" s="22" t="s">
        <v>25</v>
      </c>
      <c r="K206" s="22" t="s">
        <v>26</v>
      </c>
      <c r="L206" s="21">
        <v>45413</v>
      </c>
      <c r="M206">
        <v>5</v>
      </c>
      <c r="N206">
        <v>2024</v>
      </c>
      <c r="O206">
        <v>3</v>
      </c>
      <c r="P206">
        <v>14.700000000000001</v>
      </c>
    </row>
    <row r="207" spans="1:16" x14ac:dyDescent="0.25">
      <c r="A207">
        <v>218</v>
      </c>
      <c r="B207" s="21">
        <v>45417</v>
      </c>
      <c r="C207" t="s">
        <v>340</v>
      </c>
      <c r="D207" s="22" t="s">
        <v>77</v>
      </c>
      <c r="E207" s="22" t="s">
        <v>74</v>
      </c>
      <c r="F207" s="22" t="s">
        <v>57</v>
      </c>
      <c r="G207">
        <v>3.9</v>
      </c>
      <c r="H207" t="s">
        <v>342</v>
      </c>
      <c r="I207">
        <v>5.46</v>
      </c>
      <c r="J207" s="22" t="s">
        <v>40</v>
      </c>
      <c r="K207" s="22" t="s">
        <v>32</v>
      </c>
      <c r="L207" s="21">
        <v>45413</v>
      </c>
      <c r="M207">
        <v>5</v>
      </c>
      <c r="N207">
        <v>2024</v>
      </c>
      <c r="O207">
        <v>12</v>
      </c>
      <c r="P207">
        <v>49.14</v>
      </c>
    </row>
    <row r="208" spans="1:16" x14ac:dyDescent="0.25">
      <c r="A208">
        <v>34</v>
      </c>
      <c r="B208" s="21">
        <v>45415</v>
      </c>
      <c r="C208" t="s">
        <v>340</v>
      </c>
      <c r="D208" s="22" t="s">
        <v>73</v>
      </c>
      <c r="E208" s="22" t="s">
        <v>74</v>
      </c>
      <c r="F208" s="22" t="s">
        <v>17</v>
      </c>
      <c r="G208">
        <v>2.9</v>
      </c>
      <c r="H208" t="s">
        <v>342</v>
      </c>
      <c r="I208">
        <v>0</v>
      </c>
      <c r="J208" s="22" t="s">
        <v>40</v>
      </c>
      <c r="K208" s="22" t="s">
        <v>19</v>
      </c>
      <c r="L208" s="21">
        <v>45413</v>
      </c>
      <c r="M208">
        <v>5</v>
      </c>
      <c r="N208">
        <v>2024</v>
      </c>
      <c r="O208">
        <v>3</v>
      </c>
      <c r="P208">
        <v>8.6999999999999993</v>
      </c>
    </row>
    <row r="209" spans="1:16" x14ac:dyDescent="0.25">
      <c r="A209">
        <v>132</v>
      </c>
      <c r="B209" s="21">
        <v>45414</v>
      </c>
      <c r="C209" t="s">
        <v>340</v>
      </c>
      <c r="D209" s="22" t="s">
        <v>48</v>
      </c>
      <c r="E209" s="22" t="s">
        <v>23</v>
      </c>
      <c r="F209" s="22" t="s">
        <v>49</v>
      </c>
      <c r="G209">
        <v>18.899999999999999</v>
      </c>
      <c r="H209" t="s">
        <v>342</v>
      </c>
      <c r="I209">
        <v>0</v>
      </c>
      <c r="J209" s="22" t="s">
        <v>50</v>
      </c>
      <c r="K209" s="22" t="s">
        <v>32</v>
      </c>
      <c r="L209" s="21">
        <v>45413</v>
      </c>
      <c r="M209">
        <v>5</v>
      </c>
      <c r="N209">
        <v>2024</v>
      </c>
      <c r="O209">
        <v>16</v>
      </c>
      <c r="P209">
        <v>302.39999999999998</v>
      </c>
    </row>
    <row r="210" spans="1:16" x14ac:dyDescent="0.25">
      <c r="A210">
        <v>104</v>
      </c>
      <c r="B210" s="21">
        <v>45412</v>
      </c>
      <c r="C210" t="s">
        <v>340</v>
      </c>
      <c r="D210" s="22" t="s">
        <v>82</v>
      </c>
      <c r="E210" s="22" t="s">
        <v>35</v>
      </c>
      <c r="F210" s="22" t="s">
        <v>36</v>
      </c>
      <c r="G210">
        <v>14.9</v>
      </c>
      <c r="H210" t="s">
        <v>342</v>
      </c>
      <c r="I210">
        <v>0</v>
      </c>
      <c r="J210" s="22" t="s">
        <v>45</v>
      </c>
      <c r="K210" s="22" t="s">
        <v>32</v>
      </c>
      <c r="L210" s="21">
        <v>45383</v>
      </c>
      <c r="M210">
        <v>4</v>
      </c>
      <c r="N210">
        <v>2024</v>
      </c>
      <c r="O210">
        <v>10</v>
      </c>
      <c r="P210">
        <v>149</v>
      </c>
    </row>
    <row r="211" spans="1:16" x14ac:dyDescent="0.25">
      <c r="A211">
        <v>175</v>
      </c>
      <c r="B211" s="21">
        <v>45411</v>
      </c>
      <c r="C211" t="s">
        <v>340</v>
      </c>
      <c r="D211" s="22" t="s">
        <v>60</v>
      </c>
      <c r="E211" s="22" t="s">
        <v>61</v>
      </c>
      <c r="F211" s="22" t="s">
        <v>62</v>
      </c>
      <c r="G211">
        <v>12.9</v>
      </c>
      <c r="H211" t="s">
        <v>342</v>
      </c>
      <c r="I211">
        <v>33.54</v>
      </c>
      <c r="J211" s="22" t="s">
        <v>40</v>
      </c>
      <c r="K211" s="22" t="s">
        <v>32</v>
      </c>
      <c r="L211" s="21">
        <v>45383</v>
      </c>
      <c r="M211">
        <v>4</v>
      </c>
      <c r="N211">
        <v>2024</v>
      </c>
      <c r="O211">
        <v>23</v>
      </c>
      <c r="P211">
        <v>301.86</v>
      </c>
    </row>
    <row r="212" spans="1:16" x14ac:dyDescent="0.25">
      <c r="A212">
        <v>13</v>
      </c>
      <c r="B212" s="21">
        <v>45411</v>
      </c>
      <c r="C212" t="s">
        <v>340</v>
      </c>
      <c r="D212" s="22" t="s">
        <v>217</v>
      </c>
      <c r="E212" s="22" t="s">
        <v>23</v>
      </c>
      <c r="F212" s="22" t="s">
        <v>24</v>
      </c>
      <c r="G212">
        <v>4.5</v>
      </c>
      <c r="H212" t="s">
        <v>342</v>
      </c>
      <c r="I212">
        <v>0</v>
      </c>
      <c r="J212" s="22" t="s">
        <v>18</v>
      </c>
      <c r="K212" s="22" t="s">
        <v>26</v>
      </c>
      <c r="L212" s="21">
        <v>45383</v>
      </c>
      <c r="M212">
        <v>4</v>
      </c>
      <c r="N212">
        <v>2024</v>
      </c>
      <c r="O212">
        <v>13</v>
      </c>
      <c r="P212">
        <v>58.5</v>
      </c>
    </row>
    <row r="213" spans="1:16" x14ac:dyDescent="0.25">
      <c r="A213">
        <v>206</v>
      </c>
      <c r="B213" s="21">
        <v>45411</v>
      </c>
      <c r="C213" t="s">
        <v>340</v>
      </c>
      <c r="D213" s="22" t="s">
        <v>134</v>
      </c>
      <c r="E213" s="22" t="s">
        <v>68</v>
      </c>
      <c r="F213" s="22" t="s">
        <v>17</v>
      </c>
      <c r="G213">
        <v>0.75</v>
      </c>
      <c r="H213" t="s">
        <v>342</v>
      </c>
      <c r="I213">
        <v>0</v>
      </c>
      <c r="J213" s="22" t="s">
        <v>40</v>
      </c>
      <c r="K213" s="22" t="s">
        <v>19</v>
      </c>
      <c r="L213" s="21">
        <v>45383</v>
      </c>
      <c r="M213">
        <v>4</v>
      </c>
      <c r="N213">
        <v>2024</v>
      </c>
      <c r="O213">
        <v>2</v>
      </c>
      <c r="P213">
        <v>1.5</v>
      </c>
    </row>
    <row r="214" spans="1:16" x14ac:dyDescent="0.25">
      <c r="A214">
        <v>270</v>
      </c>
      <c r="B214" s="21">
        <v>45408</v>
      </c>
      <c r="C214" t="s">
        <v>340</v>
      </c>
      <c r="D214" s="22" t="s">
        <v>134</v>
      </c>
      <c r="E214" s="22" t="s">
        <v>68</v>
      </c>
      <c r="F214" s="22" t="s">
        <v>17</v>
      </c>
      <c r="G214">
        <v>0.75</v>
      </c>
      <c r="H214" t="s">
        <v>342</v>
      </c>
      <c r="I214">
        <v>0.41</v>
      </c>
      <c r="J214" s="22" t="s">
        <v>18</v>
      </c>
      <c r="K214" s="22" t="s">
        <v>19</v>
      </c>
      <c r="L214" s="21">
        <v>45383</v>
      </c>
      <c r="M214">
        <v>4</v>
      </c>
      <c r="N214">
        <v>2024</v>
      </c>
      <c r="O214">
        <v>10</v>
      </c>
      <c r="P214">
        <v>7.8374999999999995</v>
      </c>
    </row>
    <row r="215" spans="1:16" x14ac:dyDescent="0.25">
      <c r="A215">
        <v>262</v>
      </c>
      <c r="B215" s="21">
        <v>45405</v>
      </c>
      <c r="C215" t="s">
        <v>340</v>
      </c>
      <c r="D215" s="22" t="s">
        <v>265</v>
      </c>
      <c r="E215" s="22" t="s">
        <v>16</v>
      </c>
      <c r="F215" s="22" t="s">
        <v>24</v>
      </c>
      <c r="G215">
        <v>18.899999999999999</v>
      </c>
      <c r="H215" t="s">
        <v>342</v>
      </c>
      <c r="I215">
        <v>3.78</v>
      </c>
      <c r="J215" s="22" t="s">
        <v>31</v>
      </c>
      <c r="K215" s="22" t="s">
        <v>19</v>
      </c>
      <c r="L215" s="21">
        <v>45383</v>
      </c>
      <c r="M215">
        <v>4</v>
      </c>
      <c r="N215">
        <v>2024</v>
      </c>
      <c r="O215">
        <v>1</v>
      </c>
      <c r="P215">
        <v>34.019999999999996</v>
      </c>
    </row>
    <row r="216" spans="1:16" x14ac:dyDescent="0.25">
      <c r="A216">
        <v>230</v>
      </c>
      <c r="B216" s="21">
        <v>45404</v>
      </c>
      <c r="C216" t="s">
        <v>340</v>
      </c>
      <c r="D216" s="22" t="s">
        <v>39</v>
      </c>
      <c r="E216" s="22" t="s">
        <v>16</v>
      </c>
      <c r="F216" s="22" t="s">
        <v>343</v>
      </c>
      <c r="G216">
        <v>12.9</v>
      </c>
      <c r="H216" t="s">
        <v>342</v>
      </c>
      <c r="I216">
        <v>9.0299999999999994</v>
      </c>
      <c r="J216" s="22" t="s">
        <v>31</v>
      </c>
      <c r="K216" s="22" t="s">
        <v>26</v>
      </c>
      <c r="L216" s="21">
        <v>45383</v>
      </c>
      <c r="M216">
        <v>4</v>
      </c>
      <c r="N216">
        <v>2024</v>
      </c>
      <c r="O216">
        <v>6</v>
      </c>
      <c r="P216">
        <v>81.27</v>
      </c>
    </row>
    <row r="217" spans="1:16" x14ac:dyDescent="0.25">
      <c r="A217">
        <v>253</v>
      </c>
      <c r="B217" s="21">
        <v>45400</v>
      </c>
      <c r="C217" t="s">
        <v>340</v>
      </c>
      <c r="D217" s="22" t="s">
        <v>161</v>
      </c>
      <c r="E217" s="22" t="s">
        <v>16</v>
      </c>
      <c r="F217" s="22" t="s">
        <v>119</v>
      </c>
      <c r="G217">
        <v>5.9</v>
      </c>
      <c r="H217" t="s">
        <v>342</v>
      </c>
      <c r="I217">
        <v>12.39</v>
      </c>
      <c r="J217" s="22" t="s">
        <v>25</v>
      </c>
      <c r="K217" s="22" t="s">
        <v>32</v>
      </c>
      <c r="L217" s="21">
        <v>45383</v>
      </c>
      <c r="M217">
        <v>4</v>
      </c>
      <c r="N217">
        <v>2024</v>
      </c>
      <c r="O217">
        <v>18</v>
      </c>
      <c r="P217">
        <v>111.51</v>
      </c>
    </row>
    <row r="218" spans="1:16" x14ac:dyDescent="0.25">
      <c r="A218">
        <v>294</v>
      </c>
      <c r="B218" s="21">
        <v>45400</v>
      </c>
      <c r="C218" t="s">
        <v>340</v>
      </c>
      <c r="D218" s="22" t="s">
        <v>48</v>
      </c>
      <c r="E218" s="22" t="s">
        <v>23</v>
      </c>
      <c r="F218" s="22" t="s">
        <v>49</v>
      </c>
      <c r="G218">
        <v>18.899999999999999</v>
      </c>
      <c r="H218" t="s">
        <v>342</v>
      </c>
      <c r="I218">
        <v>0</v>
      </c>
      <c r="J218" s="22" t="s">
        <v>31</v>
      </c>
      <c r="K218" s="22" t="s">
        <v>19</v>
      </c>
      <c r="L218" s="21">
        <v>45383</v>
      </c>
      <c r="M218">
        <v>4</v>
      </c>
      <c r="N218">
        <v>2024</v>
      </c>
      <c r="O218">
        <v>25</v>
      </c>
      <c r="P218">
        <v>472.49999999999994</v>
      </c>
    </row>
    <row r="219" spans="1:16" x14ac:dyDescent="0.25">
      <c r="A219">
        <v>20</v>
      </c>
      <c r="B219" s="21">
        <v>45400</v>
      </c>
      <c r="C219" t="s">
        <v>340</v>
      </c>
      <c r="D219" s="22" t="s">
        <v>161</v>
      </c>
      <c r="E219" s="22" t="s">
        <v>16</v>
      </c>
      <c r="F219" s="22" t="s">
        <v>119</v>
      </c>
      <c r="G219">
        <v>5.9</v>
      </c>
      <c r="H219" t="s">
        <v>342</v>
      </c>
      <c r="I219">
        <v>4.72</v>
      </c>
      <c r="J219" s="22" t="s">
        <v>40</v>
      </c>
      <c r="K219" s="22" t="s">
        <v>19</v>
      </c>
      <c r="L219" s="21">
        <v>45383</v>
      </c>
      <c r="M219">
        <v>4</v>
      </c>
      <c r="N219">
        <v>2024</v>
      </c>
      <c r="O219">
        <v>15</v>
      </c>
      <c r="P219">
        <v>89.68</v>
      </c>
    </row>
    <row r="220" spans="1:16" x14ac:dyDescent="0.25">
      <c r="A220">
        <v>100</v>
      </c>
      <c r="B220" s="21">
        <v>45399</v>
      </c>
      <c r="C220" t="s">
        <v>340</v>
      </c>
      <c r="D220" s="22" t="s">
        <v>108</v>
      </c>
      <c r="E220" s="22" t="s">
        <v>68</v>
      </c>
      <c r="F220" s="22" t="s">
        <v>49</v>
      </c>
      <c r="G220">
        <v>24.9</v>
      </c>
      <c r="H220" t="s">
        <v>342</v>
      </c>
      <c r="I220">
        <v>64.739999999999995</v>
      </c>
      <c r="J220" s="22" t="s">
        <v>50</v>
      </c>
      <c r="K220" s="22" t="s">
        <v>26</v>
      </c>
      <c r="L220" s="21">
        <v>45383</v>
      </c>
      <c r="M220">
        <v>4</v>
      </c>
      <c r="N220">
        <v>2024</v>
      </c>
      <c r="O220">
        <v>23</v>
      </c>
      <c r="P220">
        <v>582.66</v>
      </c>
    </row>
    <row r="221" spans="1:16" x14ac:dyDescent="0.25">
      <c r="A221">
        <v>119</v>
      </c>
      <c r="B221" s="21">
        <v>45397</v>
      </c>
      <c r="C221" t="s">
        <v>340</v>
      </c>
      <c r="D221" s="22" t="s">
        <v>134</v>
      </c>
      <c r="E221" s="22" t="s">
        <v>68</v>
      </c>
      <c r="F221" s="22" t="s">
        <v>17</v>
      </c>
      <c r="G221">
        <v>0.75</v>
      </c>
      <c r="H221" t="s">
        <v>342</v>
      </c>
      <c r="I221">
        <v>0.98</v>
      </c>
      <c r="J221" s="22" t="s">
        <v>40</v>
      </c>
      <c r="K221" s="22" t="s">
        <v>32</v>
      </c>
      <c r="L221" s="21">
        <v>45383</v>
      </c>
      <c r="M221">
        <v>4</v>
      </c>
      <c r="N221">
        <v>2024</v>
      </c>
      <c r="O221">
        <v>11</v>
      </c>
      <c r="P221">
        <v>8.7675000000000001</v>
      </c>
    </row>
    <row r="222" spans="1:16" x14ac:dyDescent="0.25">
      <c r="A222">
        <v>85</v>
      </c>
      <c r="B222" s="21">
        <v>45394</v>
      </c>
      <c r="C222" t="s">
        <v>340</v>
      </c>
      <c r="D222" s="22" t="s">
        <v>55</v>
      </c>
      <c r="E222" s="22" t="s">
        <v>56</v>
      </c>
      <c r="F222" s="22" t="s">
        <v>57</v>
      </c>
      <c r="G222">
        <v>22.9</v>
      </c>
      <c r="H222" t="s">
        <v>342</v>
      </c>
      <c r="I222">
        <v>0</v>
      </c>
      <c r="J222" s="22" t="s">
        <v>45</v>
      </c>
      <c r="K222" s="22" t="s">
        <v>32</v>
      </c>
      <c r="L222" s="21">
        <v>45383</v>
      </c>
      <c r="M222">
        <v>4</v>
      </c>
      <c r="N222">
        <v>2024</v>
      </c>
      <c r="O222">
        <v>12</v>
      </c>
      <c r="P222">
        <v>274.79999999999995</v>
      </c>
    </row>
    <row r="223" spans="1:16" x14ac:dyDescent="0.25">
      <c r="A223">
        <v>38</v>
      </c>
      <c r="B223" s="21">
        <v>45394</v>
      </c>
      <c r="C223" t="s">
        <v>340</v>
      </c>
      <c r="D223" s="22" t="s">
        <v>136</v>
      </c>
      <c r="E223" s="22" t="s">
        <v>35</v>
      </c>
      <c r="F223" s="22" t="s">
        <v>137</v>
      </c>
      <c r="G223">
        <v>4.9000000000000004</v>
      </c>
      <c r="H223" t="s">
        <v>342</v>
      </c>
      <c r="I223">
        <v>2.4500000000000002</v>
      </c>
      <c r="J223" s="22" t="s">
        <v>40</v>
      </c>
      <c r="K223" s="22" t="s">
        <v>26</v>
      </c>
      <c r="L223" s="21">
        <v>45383</v>
      </c>
      <c r="M223">
        <v>4</v>
      </c>
      <c r="N223">
        <v>2024</v>
      </c>
      <c r="O223">
        <v>10</v>
      </c>
      <c r="P223">
        <v>53.508000000000003</v>
      </c>
    </row>
    <row r="224" spans="1:16" x14ac:dyDescent="0.25">
      <c r="A224">
        <v>225</v>
      </c>
      <c r="B224" s="21">
        <v>45393</v>
      </c>
      <c r="C224" t="s">
        <v>340</v>
      </c>
      <c r="D224" s="22" t="s">
        <v>150</v>
      </c>
      <c r="E224" s="22" t="s">
        <v>29</v>
      </c>
      <c r="F224" s="22" t="s">
        <v>151</v>
      </c>
      <c r="G224">
        <v>11.9</v>
      </c>
      <c r="H224" t="s">
        <v>342</v>
      </c>
      <c r="I224">
        <v>16.66</v>
      </c>
      <c r="J224" s="22" t="s">
        <v>25</v>
      </c>
      <c r="K224" s="22" t="s">
        <v>32</v>
      </c>
      <c r="L224" s="21">
        <v>45383</v>
      </c>
      <c r="M224">
        <v>4</v>
      </c>
      <c r="N224">
        <v>2024</v>
      </c>
      <c r="O224">
        <v>26</v>
      </c>
      <c r="P224">
        <v>316.54000000000002</v>
      </c>
    </row>
    <row r="225" spans="1:16" x14ac:dyDescent="0.25">
      <c r="A225">
        <v>159</v>
      </c>
      <c r="B225" s="21">
        <v>45391</v>
      </c>
      <c r="C225" t="s">
        <v>340</v>
      </c>
      <c r="D225" s="22" t="s">
        <v>154</v>
      </c>
      <c r="E225" s="22" t="s">
        <v>29</v>
      </c>
      <c r="F225" s="22" t="s">
        <v>345</v>
      </c>
      <c r="G225">
        <v>8.5</v>
      </c>
      <c r="H225" t="s">
        <v>342</v>
      </c>
      <c r="I225">
        <v>0</v>
      </c>
      <c r="J225" s="22" t="s">
        <v>45</v>
      </c>
      <c r="K225" s="22" t="s">
        <v>19</v>
      </c>
      <c r="L225" s="21">
        <v>45383</v>
      </c>
      <c r="M225">
        <v>4</v>
      </c>
      <c r="N225">
        <v>2024</v>
      </c>
      <c r="O225">
        <v>8</v>
      </c>
      <c r="P225">
        <v>68</v>
      </c>
    </row>
    <row r="226" spans="1:16" x14ac:dyDescent="0.25">
      <c r="A226">
        <v>157</v>
      </c>
      <c r="B226" s="21">
        <v>45390</v>
      </c>
      <c r="C226" t="s">
        <v>340</v>
      </c>
      <c r="D226" s="22" t="s">
        <v>91</v>
      </c>
      <c r="E226" s="22" t="s">
        <v>61</v>
      </c>
      <c r="F226" s="22" t="s">
        <v>343</v>
      </c>
      <c r="G226">
        <v>4.5</v>
      </c>
      <c r="H226" t="s">
        <v>342</v>
      </c>
      <c r="I226">
        <v>5.4</v>
      </c>
      <c r="J226" s="22" t="s">
        <v>31</v>
      </c>
      <c r="K226" s="22" t="s">
        <v>26</v>
      </c>
      <c r="L226" s="21">
        <v>45383</v>
      </c>
      <c r="M226">
        <v>4</v>
      </c>
      <c r="N226">
        <v>2024</v>
      </c>
      <c r="O226">
        <v>22</v>
      </c>
      <c r="P226">
        <v>102.60000000000001</v>
      </c>
    </row>
    <row r="227" spans="1:16" x14ac:dyDescent="0.25">
      <c r="A227">
        <v>156</v>
      </c>
      <c r="B227" s="21">
        <v>45390</v>
      </c>
      <c r="C227" t="s">
        <v>340</v>
      </c>
      <c r="D227" s="22" t="s">
        <v>141</v>
      </c>
      <c r="E227" s="22" t="s">
        <v>29</v>
      </c>
      <c r="F227" s="22" t="s">
        <v>346</v>
      </c>
      <c r="G227">
        <v>2.5</v>
      </c>
      <c r="H227" t="s">
        <v>342</v>
      </c>
      <c r="I227">
        <v>1</v>
      </c>
      <c r="J227" s="22" t="s">
        <v>40</v>
      </c>
      <c r="K227" s="22" t="s">
        <v>32</v>
      </c>
      <c r="L227" s="21">
        <v>45383</v>
      </c>
      <c r="M227">
        <v>4</v>
      </c>
      <c r="N227">
        <v>2024</v>
      </c>
      <c r="O227">
        <v>3</v>
      </c>
      <c r="P227">
        <v>9</v>
      </c>
    </row>
    <row r="228" spans="1:16" x14ac:dyDescent="0.25">
      <c r="A228">
        <v>147</v>
      </c>
      <c r="B228" s="21">
        <v>45385</v>
      </c>
      <c r="C228" t="s">
        <v>340</v>
      </c>
      <c r="D228" s="22" t="s">
        <v>70</v>
      </c>
      <c r="E228" s="22" t="s">
        <v>56</v>
      </c>
      <c r="F228" s="22" t="s">
        <v>57</v>
      </c>
      <c r="G228">
        <v>32.9</v>
      </c>
      <c r="H228" t="s">
        <v>342</v>
      </c>
      <c r="I228">
        <v>0</v>
      </c>
      <c r="J228" s="22" t="s">
        <v>31</v>
      </c>
      <c r="K228" s="22" t="s">
        <v>19</v>
      </c>
      <c r="L228" s="21">
        <v>45383</v>
      </c>
      <c r="M228">
        <v>4</v>
      </c>
      <c r="N228">
        <v>2024</v>
      </c>
      <c r="O228">
        <v>7</v>
      </c>
      <c r="P228">
        <v>230.29999999999998</v>
      </c>
    </row>
    <row r="229" spans="1:16" x14ac:dyDescent="0.25">
      <c r="A229">
        <v>109</v>
      </c>
      <c r="B229" s="21">
        <v>45382</v>
      </c>
      <c r="C229" t="s">
        <v>340</v>
      </c>
      <c r="D229" s="22" t="s">
        <v>34</v>
      </c>
      <c r="E229" s="22" t="s">
        <v>35</v>
      </c>
      <c r="F229" s="22" t="s">
        <v>36</v>
      </c>
      <c r="G229">
        <v>14.9</v>
      </c>
      <c r="H229" t="s">
        <v>342</v>
      </c>
      <c r="I229">
        <v>12.67</v>
      </c>
      <c r="J229" s="22" t="s">
        <v>25</v>
      </c>
      <c r="K229" s="22" t="s">
        <v>26</v>
      </c>
      <c r="L229" s="21">
        <v>45352</v>
      </c>
      <c r="M229">
        <v>3</v>
      </c>
      <c r="N229">
        <v>2024</v>
      </c>
      <c r="O229">
        <v>16</v>
      </c>
      <c r="P229">
        <v>240.63499999999999</v>
      </c>
    </row>
    <row r="230" spans="1:16" x14ac:dyDescent="0.25">
      <c r="A230">
        <v>82</v>
      </c>
      <c r="B230" s="21">
        <v>45382</v>
      </c>
      <c r="C230" t="s">
        <v>340</v>
      </c>
      <c r="D230" s="22" t="s">
        <v>134</v>
      </c>
      <c r="E230" s="22" t="s">
        <v>68</v>
      </c>
      <c r="F230" s="22" t="s">
        <v>17</v>
      </c>
      <c r="G230">
        <v>0.75</v>
      </c>
      <c r="H230" t="s">
        <v>342</v>
      </c>
      <c r="I230">
        <v>0</v>
      </c>
      <c r="J230" s="22" t="s">
        <v>40</v>
      </c>
      <c r="K230" s="22" t="s">
        <v>19</v>
      </c>
      <c r="L230" s="21">
        <v>45352</v>
      </c>
      <c r="M230">
        <v>3</v>
      </c>
      <c r="N230">
        <v>2024</v>
      </c>
      <c r="O230">
        <v>1</v>
      </c>
      <c r="P230">
        <v>0.75</v>
      </c>
    </row>
    <row r="231" spans="1:16" x14ac:dyDescent="0.25">
      <c r="A231">
        <v>184</v>
      </c>
      <c r="B231" s="21">
        <v>45381</v>
      </c>
      <c r="C231" t="s">
        <v>340</v>
      </c>
      <c r="D231" s="22" t="s">
        <v>172</v>
      </c>
      <c r="E231" s="22" t="s">
        <v>56</v>
      </c>
      <c r="F231" s="22" t="s">
        <v>57</v>
      </c>
      <c r="G231">
        <v>89.9</v>
      </c>
      <c r="H231" t="s">
        <v>342</v>
      </c>
      <c r="I231">
        <v>76.42</v>
      </c>
      <c r="J231" s="22" t="s">
        <v>31</v>
      </c>
      <c r="K231" s="22" t="s">
        <v>32</v>
      </c>
      <c r="L231" s="21">
        <v>45352</v>
      </c>
      <c r="M231">
        <v>3</v>
      </c>
      <c r="N231">
        <v>2024</v>
      </c>
      <c r="O231">
        <v>16</v>
      </c>
      <c r="P231">
        <v>1451.885</v>
      </c>
    </row>
    <row r="232" spans="1:16" x14ac:dyDescent="0.25">
      <c r="A232">
        <v>16</v>
      </c>
      <c r="B232" s="21">
        <v>45379</v>
      </c>
      <c r="C232" t="s">
        <v>340</v>
      </c>
      <c r="D232" s="22" t="s">
        <v>122</v>
      </c>
      <c r="E232" s="22" t="s">
        <v>74</v>
      </c>
      <c r="F232" s="22" t="s">
        <v>57</v>
      </c>
      <c r="G232">
        <v>7.9</v>
      </c>
      <c r="H232" t="s">
        <v>342</v>
      </c>
      <c r="I232">
        <v>0</v>
      </c>
      <c r="J232" s="22" t="s">
        <v>45</v>
      </c>
      <c r="K232" s="22" t="s">
        <v>19</v>
      </c>
      <c r="L232" s="21">
        <v>45352</v>
      </c>
      <c r="M232">
        <v>3</v>
      </c>
      <c r="N232">
        <v>2024</v>
      </c>
      <c r="O232">
        <v>24</v>
      </c>
      <c r="P232">
        <v>189.60000000000002</v>
      </c>
    </row>
    <row r="233" spans="1:16" x14ac:dyDescent="0.25">
      <c r="A233">
        <v>219</v>
      </c>
      <c r="B233" s="21">
        <v>45379</v>
      </c>
      <c r="C233" t="s">
        <v>340</v>
      </c>
      <c r="D233" s="22" t="s">
        <v>166</v>
      </c>
      <c r="E233" s="22" t="s">
        <v>23</v>
      </c>
      <c r="F233" s="22" t="s">
        <v>101</v>
      </c>
      <c r="G233">
        <v>4.2</v>
      </c>
      <c r="H233" t="s">
        <v>342</v>
      </c>
      <c r="I233">
        <v>1.26</v>
      </c>
      <c r="J233" s="22" t="s">
        <v>18</v>
      </c>
      <c r="K233" s="22" t="s">
        <v>26</v>
      </c>
      <c r="L233" s="21">
        <v>45352</v>
      </c>
      <c r="M233">
        <v>3</v>
      </c>
      <c r="N233">
        <v>2024</v>
      </c>
      <c r="O233">
        <v>2</v>
      </c>
      <c r="P233">
        <v>11.340000000000002</v>
      </c>
    </row>
    <row r="234" spans="1:16" x14ac:dyDescent="0.25">
      <c r="A234">
        <v>53</v>
      </c>
      <c r="B234" s="21">
        <v>45377</v>
      </c>
      <c r="C234" t="s">
        <v>340</v>
      </c>
      <c r="D234" s="22" t="s">
        <v>134</v>
      </c>
      <c r="E234" s="22" t="s">
        <v>68</v>
      </c>
      <c r="F234" s="22" t="s">
        <v>17</v>
      </c>
      <c r="G234">
        <v>0.75</v>
      </c>
      <c r="H234" t="s">
        <v>342</v>
      </c>
      <c r="I234">
        <v>0.6</v>
      </c>
      <c r="J234" s="22" t="s">
        <v>45</v>
      </c>
      <c r="K234" s="22" t="s">
        <v>19</v>
      </c>
      <c r="L234" s="21">
        <v>45352</v>
      </c>
      <c r="M234">
        <v>3</v>
      </c>
      <c r="N234">
        <v>2024</v>
      </c>
      <c r="O234">
        <v>15</v>
      </c>
      <c r="P234">
        <v>11.399999999999999</v>
      </c>
    </row>
    <row r="235" spans="1:16" x14ac:dyDescent="0.25">
      <c r="A235">
        <v>187</v>
      </c>
      <c r="B235" s="21">
        <v>45374</v>
      </c>
      <c r="C235" t="s">
        <v>340</v>
      </c>
      <c r="D235" s="22" t="s">
        <v>28</v>
      </c>
      <c r="E235" s="22" t="s">
        <v>29</v>
      </c>
      <c r="F235" s="22" t="s">
        <v>343</v>
      </c>
      <c r="G235">
        <v>5.9</v>
      </c>
      <c r="H235" t="s">
        <v>342</v>
      </c>
      <c r="I235">
        <v>4.13</v>
      </c>
      <c r="J235" s="22" t="s">
        <v>31</v>
      </c>
      <c r="K235" s="22" t="s">
        <v>26</v>
      </c>
      <c r="L235" s="21">
        <v>45352</v>
      </c>
      <c r="M235">
        <v>3</v>
      </c>
      <c r="N235">
        <v>2024</v>
      </c>
      <c r="O235">
        <v>13</v>
      </c>
      <c r="P235">
        <v>78.470000000000013</v>
      </c>
    </row>
    <row r="236" spans="1:16" x14ac:dyDescent="0.25">
      <c r="A236">
        <v>25</v>
      </c>
      <c r="B236" s="21">
        <v>45373</v>
      </c>
      <c r="C236" t="s">
        <v>340</v>
      </c>
      <c r="D236" s="22" t="s">
        <v>82</v>
      </c>
      <c r="E236" s="22" t="s">
        <v>35</v>
      </c>
      <c r="F236" s="22" t="s">
        <v>36</v>
      </c>
      <c r="G236">
        <v>14.9</v>
      </c>
      <c r="H236" t="s">
        <v>342</v>
      </c>
      <c r="I236">
        <v>20.86</v>
      </c>
      <c r="J236" s="22" t="s">
        <v>25</v>
      </c>
      <c r="K236" s="22" t="s">
        <v>19</v>
      </c>
      <c r="L236" s="21">
        <v>45352</v>
      </c>
      <c r="M236">
        <v>3</v>
      </c>
      <c r="N236">
        <v>2024</v>
      </c>
      <c r="O236">
        <v>12</v>
      </c>
      <c r="P236">
        <v>187.74</v>
      </c>
    </row>
    <row r="237" spans="1:16" x14ac:dyDescent="0.25">
      <c r="A237">
        <v>195</v>
      </c>
      <c r="B237" s="21">
        <v>45373</v>
      </c>
      <c r="C237" t="s">
        <v>340</v>
      </c>
      <c r="D237" s="22" t="s">
        <v>126</v>
      </c>
      <c r="E237" s="22" t="s">
        <v>29</v>
      </c>
      <c r="F237" s="22" t="s">
        <v>345</v>
      </c>
      <c r="G237">
        <v>6.9</v>
      </c>
      <c r="H237" t="s">
        <v>342</v>
      </c>
      <c r="I237">
        <v>0</v>
      </c>
      <c r="J237" s="22" t="s">
        <v>50</v>
      </c>
      <c r="K237" s="22" t="s">
        <v>19</v>
      </c>
      <c r="L237" s="21">
        <v>45352</v>
      </c>
      <c r="M237">
        <v>3</v>
      </c>
      <c r="N237">
        <v>2024</v>
      </c>
      <c r="O237">
        <v>18</v>
      </c>
      <c r="P237">
        <v>124.2</v>
      </c>
    </row>
    <row r="238" spans="1:16" x14ac:dyDescent="0.25">
      <c r="A238">
        <v>29</v>
      </c>
      <c r="B238" s="21">
        <v>45372</v>
      </c>
      <c r="C238" t="s">
        <v>340</v>
      </c>
      <c r="D238" s="22" t="s">
        <v>55</v>
      </c>
      <c r="E238" s="22" t="s">
        <v>56</v>
      </c>
      <c r="F238" s="22" t="s">
        <v>57</v>
      </c>
      <c r="G238">
        <v>22.9</v>
      </c>
      <c r="H238" t="s">
        <v>342</v>
      </c>
      <c r="I238">
        <v>0</v>
      </c>
      <c r="J238" s="22" t="s">
        <v>50</v>
      </c>
      <c r="K238" s="22" t="s">
        <v>32</v>
      </c>
      <c r="L238" s="21">
        <v>45352</v>
      </c>
      <c r="M238">
        <v>3</v>
      </c>
      <c r="N238">
        <v>2024</v>
      </c>
      <c r="O238">
        <v>1</v>
      </c>
      <c r="P238">
        <v>22.9</v>
      </c>
    </row>
    <row r="239" spans="1:16" x14ac:dyDescent="0.25">
      <c r="A239">
        <v>223</v>
      </c>
      <c r="B239" s="21">
        <v>45372</v>
      </c>
      <c r="C239" t="s">
        <v>340</v>
      </c>
      <c r="D239" s="22" t="s">
        <v>184</v>
      </c>
      <c r="E239" s="22" t="s">
        <v>23</v>
      </c>
      <c r="F239" s="22" t="s">
        <v>185</v>
      </c>
      <c r="G239">
        <v>4.9000000000000004</v>
      </c>
      <c r="H239" t="s">
        <v>342</v>
      </c>
      <c r="I239">
        <v>0</v>
      </c>
      <c r="J239" s="22" t="s">
        <v>50</v>
      </c>
      <c r="K239" s="22" t="s">
        <v>19</v>
      </c>
      <c r="L239" s="21">
        <v>45352</v>
      </c>
      <c r="M239">
        <v>3</v>
      </c>
      <c r="N239">
        <v>2024</v>
      </c>
      <c r="O239">
        <v>15</v>
      </c>
      <c r="P239">
        <v>73.5</v>
      </c>
    </row>
    <row r="240" spans="1:16" x14ac:dyDescent="0.25">
      <c r="A240">
        <v>288</v>
      </c>
      <c r="B240" s="21">
        <v>45372</v>
      </c>
      <c r="C240" t="s">
        <v>340</v>
      </c>
      <c r="D240" s="22" t="s">
        <v>94</v>
      </c>
      <c r="E240" s="22" t="s">
        <v>35</v>
      </c>
      <c r="F240" s="22" t="s">
        <v>95</v>
      </c>
      <c r="G240">
        <v>19.899999999999999</v>
      </c>
      <c r="H240" t="s">
        <v>342</v>
      </c>
      <c r="I240">
        <v>0</v>
      </c>
      <c r="J240" s="22" t="s">
        <v>40</v>
      </c>
      <c r="K240" s="22" t="s">
        <v>32</v>
      </c>
      <c r="L240" s="21">
        <v>45352</v>
      </c>
      <c r="M240">
        <v>3</v>
      </c>
      <c r="N240">
        <v>2024</v>
      </c>
      <c r="O240">
        <v>20</v>
      </c>
      <c r="P240">
        <v>398</v>
      </c>
    </row>
    <row r="241" spans="1:16" x14ac:dyDescent="0.25">
      <c r="A241">
        <v>172</v>
      </c>
      <c r="B241" s="21">
        <v>45372</v>
      </c>
      <c r="C241" t="s">
        <v>340</v>
      </c>
      <c r="D241" s="22" t="s">
        <v>43</v>
      </c>
      <c r="E241" s="22" t="s">
        <v>23</v>
      </c>
      <c r="F241" s="22" t="s">
        <v>44</v>
      </c>
      <c r="G241">
        <v>12.9</v>
      </c>
      <c r="H241" t="s">
        <v>342</v>
      </c>
      <c r="I241">
        <v>9.0299999999999994</v>
      </c>
      <c r="J241" s="22" t="s">
        <v>40</v>
      </c>
      <c r="K241" s="22" t="s">
        <v>26</v>
      </c>
      <c r="L241" s="21">
        <v>45352</v>
      </c>
      <c r="M241">
        <v>3</v>
      </c>
      <c r="N241">
        <v>2024</v>
      </c>
      <c r="O241">
        <v>13</v>
      </c>
      <c r="P241">
        <v>171.57000000000002</v>
      </c>
    </row>
    <row r="242" spans="1:16" x14ac:dyDescent="0.25">
      <c r="A242">
        <v>59</v>
      </c>
      <c r="B242" s="21">
        <v>45372</v>
      </c>
      <c r="C242" t="s">
        <v>340</v>
      </c>
      <c r="D242" s="22" t="s">
        <v>204</v>
      </c>
      <c r="E242" s="22" t="s">
        <v>23</v>
      </c>
      <c r="F242" s="22" t="s">
        <v>49</v>
      </c>
      <c r="G242">
        <v>3.5</v>
      </c>
      <c r="H242" t="s">
        <v>342</v>
      </c>
      <c r="I242">
        <v>0</v>
      </c>
      <c r="J242" s="22" t="s">
        <v>45</v>
      </c>
      <c r="K242" s="22" t="s">
        <v>32</v>
      </c>
      <c r="L242" s="21">
        <v>45352</v>
      </c>
      <c r="M242">
        <v>3</v>
      </c>
      <c r="N242">
        <v>2024</v>
      </c>
      <c r="O242">
        <v>17</v>
      </c>
      <c r="P242">
        <v>59.5</v>
      </c>
    </row>
    <row r="243" spans="1:16" x14ac:dyDescent="0.25">
      <c r="A243">
        <v>68</v>
      </c>
      <c r="B243" s="21">
        <v>45372</v>
      </c>
      <c r="C243" t="s">
        <v>340</v>
      </c>
      <c r="D243" s="22" t="s">
        <v>139</v>
      </c>
      <c r="E243" s="22" t="s">
        <v>68</v>
      </c>
      <c r="F243" s="22" t="s">
        <v>17</v>
      </c>
      <c r="G243">
        <v>4.5</v>
      </c>
      <c r="H243" t="s">
        <v>342</v>
      </c>
      <c r="I243">
        <v>12.15</v>
      </c>
      <c r="J243" s="22" t="s">
        <v>40</v>
      </c>
      <c r="K243" s="22" t="s">
        <v>19</v>
      </c>
      <c r="L243" s="21">
        <v>45352</v>
      </c>
      <c r="M243">
        <v>3</v>
      </c>
      <c r="N243">
        <v>2024</v>
      </c>
      <c r="O243">
        <v>24</v>
      </c>
      <c r="P243">
        <v>109.35000000000001</v>
      </c>
    </row>
    <row r="244" spans="1:16" x14ac:dyDescent="0.25">
      <c r="A244">
        <v>278</v>
      </c>
      <c r="B244" s="21">
        <v>45371</v>
      </c>
      <c r="C244" t="s">
        <v>340</v>
      </c>
      <c r="D244" s="22" t="s">
        <v>15</v>
      </c>
      <c r="E244" s="22" t="s">
        <v>16</v>
      </c>
      <c r="F244" s="22" t="s">
        <v>17</v>
      </c>
      <c r="G244">
        <v>3.9</v>
      </c>
      <c r="H244" t="s">
        <v>342</v>
      </c>
      <c r="I244">
        <v>0</v>
      </c>
      <c r="J244" s="22" t="s">
        <v>25</v>
      </c>
      <c r="K244" s="22" t="s">
        <v>19</v>
      </c>
      <c r="L244" s="21">
        <v>45352</v>
      </c>
      <c r="M244">
        <v>3</v>
      </c>
      <c r="N244">
        <v>2024</v>
      </c>
      <c r="O244">
        <v>16</v>
      </c>
      <c r="P244">
        <v>62.4</v>
      </c>
    </row>
    <row r="245" spans="1:16" x14ac:dyDescent="0.25">
      <c r="A245">
        <v>248</v>
      </c>
      <c r="B245" s="21">
        <v>45371</v>
      </c>
      <c r="C245" t="s">
        <v>340</v>
      </c>
      <c r="D245" s="22" t="s">
        <v>134</v>
      </c>
      <c r="E245" s="22" t="s">
        <v>68</v>
      </c>
      <c r="F245" s="22" t="s">
        <v>17</v>
      </c>
      <c r="G245">
        <v>0.75</v>
      </c>
      <c r="H245" t="s">
        <v>342</v>
      </c>
      <c r="I245">
        <v>0</v>
      </c>
      <c r="J245" s="22" t="s">
        <v>18</v>
      </c>
      <c r="K245" s="22" t="s">
        <v>26</v>
      </c>
      <c r="L245" s="21">
        <v>45352</v>
      </c>
      <c r="M245">
        <v>3</v>
      </c>
      <c r="N245">
        <v>2024</v>
      </c>
      <c r="O245">
        <v>21</v>
      </c>
      <c r="P245">
        <v>15.75</v>
      </c>
    </row>
    <row r="246" spans="1:16" x14ac:dyDescent="0.25">
      <c r="A246">
        <v>256</v>
      </c>
      <c r="B246" s="21">
        <v>45367</v>
      </c>
      <c r="C246" t="s">
        <v>340</v>
      </c>
      <c r="D246" s="22" t="s">
        <v>118</v>
      </c>
      <c r="E246" s="22" t="s">
        <v>16</v>
      </c>
      <c r="F246" s="22" t="s">
        <v>119</v>
      </c>
      <c r="G246">
        <v>2.5</v>
      </c>
      <c r="H246" t="s">
        <v>342</v>
      </c>
      <c r="I246">
        <v>0</v>
      </c>
      <c r="J246" s="22" t="s">
        <v>45</v>
      </c>
      <c r="K246" s="22" t="s">
        <v>32</v>
      </c>
      <c r="L246" s="21">
        <v>45352</v>
      </c>
      <c r="M246">
        <v>3</v>
      </c>
      <c r="N246">
        <v>2024</v>
      </c>
      <c r="O246">
        <v>1</v>
      </c>
      <c r="P246">
        <v>2.5</v>
      </c>
    </row>
    <row r="247" spans="1:16" x14ac:dyDescent="0.25">
      <c r="A247">
        <v>21</v>
      </c>
      <c r="B247" s="21">
        <v>45365</v>
      </c>
      <c r="C247" t="s">
        <v>340</v>
      </c>
      <c r="D247" s="22" t="s">
        <v>60</v>
      </c>
      <c r="E247" s="22" t="s">
        <v>61</v>
      </c>
      <c r="F247" s="22" t="s">
        <v>62</v>
      </c>
      <c r="G247">
        <v>12.9</v>
      </c>
      <c r="H247" t="s">
        <v>342</v>
      </c>
      <c r="I247">
        <v>0</v>
      </c>
      <c r="J247" s="22" t="s">
        <v>40</v>
      </c>
      <c r="K247" s="22" t="s">
        <v>26</v>
      </c>
      <c r="L247" s="21">
        <v>45352</v>
      </c>
      <c r="M247">
        <v>3</v>
      </c>
      <c r="N247">
        <v>2024</v>
      </c>
      <c r="O247">
        <v>5</v>
      </c>
      <c r="P247">
        <v>64.5</v>
      </c>
    </row>
    <row r="248" spans="1:16" x14ac:dyDescent="0.25">
      <c r="A248">
        <v>210</v>
      </c>
      <c r="B248" s="21">
        <v>45365</v>
      </c>
      <c r="C248" t="s">
        <v>340</v>
      </c>
      <c r="D248" s="22" t="s">
        <v>134</v>
      </c>
      <c r="E248" s="22" t="s">
        <v>68</v>
      </c>
      <c r="F248" s="22" t="s">
        <v>17</v>
      </c>
      <c r="G248">
        <v>0.75</v>
      </c>
      <c r="H248" t="s">
        <v>342</v>
      </c>
      <c r="I248">
        <v>0</v>
      </c>
      <c r="J248" s="22" t="s">
        <v>25</v>
      </c>
      <c r="K248" s="22" t="s">
        <v>19</v>
      </c>
      <c r="L248" s="21">
        <v>45352</v>
      </c>
      <c r="M248">
        <v>3</v>
      </c>
      <c r="N248">
        <v>2024</v>
      </c>
      <c r="O248">
        <v>28</v>
      </c>
      <c r="P248">
        <v>21</v>
      </c>
    </row>
    <row r="249" spans="1:16" x14ac:dyDescent="0.25">
      <c r="A249">
        <v>2</v>
      </c>
      <c r="B249" s="21">
        <v>45363</v>
      </c>
      <c r="C249" t="s">
        <v>340</v>
      </c>
      <c r="D249" s="22" t="s">
        <v>103</v>
      </c>
      <c r="E249" s="22" t="s">
        <v>35</v>
      </c>
      <c r="F249" s="22" t="s">
        <v>95</v>
      </c>
      <c r="G249">
        <v>54.9</v>
      </c>
      <c r="H249" t="s">
        <v>342</v>
      </c>
      <c r="I249">
        <v>21.96</v>
      </c>
      <c r="J249" s="22" t="s">
        <v>25</v>
      </c>
      <c r="K249" s="22" t="s">
        <v>26</v>
      </c>
      <c r="L249" s="21">
        <v>45352</v>
      </c>
      <c r="M249">
        <v>3</v>
      </c>
      <c r="N249">
        <v>2024</v>
      </c>
      <c r="O249">
        <v>3</v>
      </c>
      <c r="P249">
        <v>197.64</v>
      </c>
    </row>
    <row r="250" spans="1:16" x14ac:dyDescent="0.25">
      <c r="A250">
        <v>50</v>
      </c>
      <c r="B250" s="21">
        <v>45363</v>
      </c>
      <c r="C250" t="s">
        <v>340</v>
      </c>
      <c r="D250" s="22" t="s">
        <v>108</v>
      </c>
      <c r="E250" s="22" t="s">
        <v>68</v>
      </c>
      <c r="F250" s="22" t="s">
        <v>49</v>
      </c>
      <c r="G250">
        <v>24.9</v>
      </c>
      <c r="H250" t="s">
        <v>342</v>
      </c>
      <c r="I250">
        <v>0</v>
      </c>
      <c r="J250" s="22" t="s">
        <v>18</v>
      </c>
      <c r="K250" s="22" t="s">
        <v>32</v>
      </c>
      <c r="L250" s="21">
        <v>45352</v>
      </c>
      <c r="M250">
        <v>3</v>
      </c>
      <c r="N250">
        <v>2024</v>
      </c>
      <c r="O250">
        <v>6</v>
      </c>
      <c r="P250">
        <v>149.39999999999998</v>
      </c>
    </row>
    <row r="251" spans="1:16" x14ac:dyDescent="0.25">
      <c r="A251">
        <v>246</v>
      </c>
      <c r="B251" s="21">
        <v>45361</v>
      </c>
      <c r="C251" t="s">
        <v>340</v>
      </c>
      <c r="D251" s="22" t="s">
        <v>150</v>
      </c>
      <c r="E251" s="22" t="s">
        <v>29</v>
      </c>
      <c r="F251" s="22" t="s">
        <v>151</v>
      </c>
      <c r="G251">
        <v>11.9</v>
      </c>
      <c r="H251" t="s">
        <v>342</v>
      </c>
      <c r="I251">
        <v>0</v>
      </c>
      <c r="J251" s="22" t="s">
        <v>40</v>
      </c>
      <c r="K251" s="22" t="s">
        <v>26</v>
      </c>
      <c r="L251" s="21">
        <v>45352</v>
      </c>
      <c r="M251">
        <v>3</v>
      </c>
      <c r="N251">
        <v>2024</v>
      </c>
      <c r="O251">
        <v>15</v>
      </c>
      <c r="P251">
        <v>178.5</v>
      </c>
    </row>
    <row r="252" spans="1:16" x14ac:dyDescent="0.25">
      <c r="A252">
        <v>208</v>
      </c>
      <c r="B252" s="21">
        <v>45356</v>
      </c>
      <c r="C252" t="s">
        <v>340</v>
      </c>
      <c r="D252" s="22" t="s">
        <v>88</v>
      </c>
      <c r="E252" s="22" t="s">
        <v>56</v>
      </c>
      <c r="F252" s="22" t="s">
        <v>57</v>
      </c>
      <c r="G252">
        <v>24.9</v>
      </c>
      <c r="H252" t="s">
        <v>342</v>
      </c>
      <c r="I252">
        <v>0</v>
      </c>
      <c r="J252" s="22" t="s">
        <v>25</v>
      </c>
      <c r="K252" s="22" t="s">
        <v>19</v>
      </c>
      <c r="L252" s="21">
        <v>45352</v>
      </c>
      <c r="M252">
        <v>3</v>
      </c>
      <c r="N252">
        <v>2024</v>
      </c>
      <c r="O252">
        <v>19</v>
      </c>
      <c r="P252">
        <v>473.09999999999997</v>
      </c>
    </row>
    <row r="253" spans="1:16" x14ac:dyDescent="0.25">
      <c r="A253">
        <v>179</v>
      </c>
      <c r="B253" s="21">
        <v>45355</v>
      </c>
      <c r="C253" t="s">
        <v>340</v>
      </c>
      <c r="D253" s="22" t="s">
        <v>55</v>
      </c>
      <c r="E253" s="22" t="s">
        <v>56</v>
      </c>
      <c r="F253" s="22" t="s">
        <v>57</v>
      </c>
      <c r="G253">
        <v>22.9</v>
      </c>
      <c r="H253" t="s">
        <v>342</v>
      </c>
      <c r="I253">
        <v>0</v>
      </c>
      <c r="J253" s="22" t="s">
        <v>40</v>
      </c>
      <c r="K253" s="22" t="s">
        <v>19</v>
      </c>
      <c r="L253" s="21">
        <v>45352</v>
      </c>
      <c r="M253">
        <v>3</v>
      </c>
      <c r="N253">
        <v>2024</v>
      </c>
      <c r="O253">
        <v>23</v>
      </c>
      <c r="P253">
        <v>526.69999999999993</v>
      </c>
    </row>
    <row r="254" spans="1:16" x14ac:dyDescent="0.25">
      <c r="A254">
        <v>295</v>
      </c>
      <c r="B254" s="21">
        <v>45353</v>
      </c>
      <c r="C254" t="s">
        <v>340</v>
      </c>
      <c r="D254" s="22" t="s">
        <v>43</v>
      </c>
      <c r="E254" s="22" t="s">
        <v>23</v>
      </c>
      <c r="F254" s="22" t="s">
        <v>44</v>
      </c>
      <c r="G254">
        <v>12.9</v>
      </c>
      <c r="H254" t="s">
        <v>342</v>
      </c>
      <c r="I254">
        <v>10.32</v>
      </c>
      <c r="J254" s="22" t="s">
        <v>45</v>
      </c>
      <c r="K254" s="22" t="s">
        <v>32</v>
      </c>
      <c r="L254" s="21">
        <v>45352</v>
      </c>
      <c r="M254">
        <v>3</v>
      </c>
      <c r="N254">
        <v>2024</v>
      </c>
      <c r="O254">
        <v>15</v>
      </c>
      <c r="P254">
        <v>196.07999999999998</v>
      </c>
    </row>
    <row r="255" spans="1:16" x14ac:dyDescent="0.25">
      <c r="A255">
        <v>237</v>
      </c>
      <c r="B255" s="21">
        <v>45350</v>
      </c>
      <c r="C255" t="s">
        <v>340</v>
      </c>
      <c r="D255" s="22" t="s">
        <v>55</v>
      </c>
      <c r="E255" s="22" t="s">
        <v>56</v>
      </c>
      <c r="F255" s="22" t="s">
        <v>57</v>
      </c>
      <c r="G255">
        <v>22.9</v>
      </c>
      <c r="H255" t="s">
        <v>342</v>
      </c>
      <c r="I255">
        <v>0</v>
      </c>
      <c r="J255" s="22" t="s">
        <v>45</v>
      </c>
      <c r="K255" s="22" t="s">
        <v>26</v>
      </c>
      <c r="L255" s="21">
        <v>45323</v>
      </c>
      <c r="M255">
        <v>2</v>
      </c>
      <c r="N255">
        <v>2024</v>
      </c>
      <c r="O255">
        <v>3</v>
      </c>
      <c r="P255">
        <v>68.699999999999989</v>
      </c>
    </row>
    <row r="256" spans="1:16" x14ac:dyDescent="0.25">
      <c r="A256">
        <v>164</v>
      </c>
      <c r="B256" s="21">
        <v>45350</v>
      </c>
      <c r="C256" t="s">
        <v>340</v>
      </c>
      <c r="D256" s="22" t="s">
        <v>184</v>
      </c>
      <c r="E256" s="22" t="s">
        <v>23</v>
      </c>
      <c r="F256" s="22" t="s">
        <v>185</v>
      </c>
      <c r="G256">
        <v>4.9000000000000004</v>
      </c>
      <c r="H256" t="s">
        <v>342</v>
      </c>
      <c r="I256">
        <v>3.19</v>
      </c>
      <c r="J256" s="22" t="s">
        <v>25</v>
      </c>
      <c r="K256" s="22" t="s">
        <v>26</v>
      </c>
      <c r="L256" s="21">
        <v>45323</v>
      </c>
      <c r="M256">
        <v>2</v>
      </c>
      <c r="N256">
        <v>2024</v>
      </c>
      <c r="O256">
        <v>12</v>
      </c>
      <c r="P256">
        <v>60.515000000000001</v>
      </c>
    </row>
    <row r="257" spans="1:16" x14ac:dyDescent="0.25">
      <c r="A257">
        <v>77</v>
      </c>
      <c r="B257" s="21">
        <v>45349</v>
      </c>
      <c r="C257" t="s">
        <v>340</v>
      </c>
      <c r="D257" s="22" t="s">
        <v>184</v>
      </c>
      <c r="E257" s="22" t="s">
        <v>23</v>
      </c>
      <c r="F257" s="22" t="s">
        <v>185</v>
      </c>
      <c r="G257">
        <v>4.9000000000000004</v>
      </c>
      <c r="H257" t="s">
        <v>342</v>
      </c>
      <c r="I257">
        <v>0</v>
      </c>
      <c r="J257" s="22" t="s">
        <v>50</v>
      </c>
      <c r="K257" s="22" t="s">
        <v>32</v>
      </c>
      <c r="L257" s="21">
        <v>45323</v>
      </c>
      <c r="M257">
        <v>2</v>
      </c>
      <c r="N257">
        <v>2024</v>
      </c>
      <c r="O257">
        <v>29</v>
      </c>
      <c r="P257">
        <v>142.10000000000002</v>
      </c>
    </row>
    <row r="258" spans="1:16" x14ac:dyDescent="0.25">
      <c r="A258">
        <v>33</v>
      </c>
      <c r="B258" s="21">
        <v>45349</v>
      </c>
      <c r="C258" t="s">
        <v>340</v>
      </c>
      <c r="D258" s="22" t="s">
        <v>79</v>
      </c>
      <c r="E258" s="22" t="s">
        <v>29</v>
      </c>
      <c r="F258" s="22" t="s">
        <v>80</v>
      </c>
      <c r="G258">
        <v>7.9</v>
      </c>
      <c r="H258" t="s">
        <v>342</v>
      </c>
      <c r="I258">
        <v>0</v>
      </c>
      <c r="J258" s="22" t="s">
        <v>45</v>
      </c>
      <c r="K258" s="22" t="s">
        <v>32</v>
      </c>
      <c r="L258" s="21">
        <v>45323</v>
      </c>
      <c r="M258">
        <v>2</v>
      </c>
      <c r="N258">
        <v>2024</v>
      </c>
      <c r="O258">
        <v>29</v>
      </c>
      <c r="P258">
        <v>229.10000000000002</v>
      </c>
    </row>
    <row r="259" spans="1:16" x14ac:dyDescent="0.25">
      <c r="A259">
        <v>49</v>
      </c>
      <c r="B259" s="21">
        <v>45347</v>
      </c>
      <c r="C259" t="s">
        <v>340</v>
      </c>
      <c r="D259" s="22" t="s">
        <v>207</v>
      </c>
      <c r="E259" s="22" t="s">
        <v>61</v>
      </c>
      <c r="F259" s="22" t="s">
        <v>57</v>
      </c>
      <c r="G259">
        <v>32.9</v>
      </c>
      <c r="H259" t="s">
        <v>342</v>
      </c>
      <c r="I259">
        <v>0</v>
      </c>
      <c r="J259" s="22" t="s">
        <v>50</v>
      </c>
      <c r="K259" s="22" t="s">
        <v>19</v>
      </c>
      <c r="L259" s="21">
        <v>45323</v>
      </c>
      <c r="M259">
        <v>2</v>
      </c>
      <c r="N259">
        <v>2024</v>
      </c>
      <c r="O259">
        <v>7</v>
      </c>
      <c r="P259">
        <v>230.29999999999998</v>
      </c>
    </row>
    <row r="260" spans="1:16" x14ac:dyDescent="0.25">
      <c r="A260">
        <v>135</v>
      </c>
      <c r="B260" s="21">
        <v>45347</v>
      </c>
      <c r="C260" t="s">
        <v>340</v>
      </c>
      <c r="D260" s="22" t="s">
        <v>147</v>
      </c>
      <c r="E260" s="22" t="s">
        <v>74</v>
      </c>
      <c r="F260" s="22" t="s">
        <v>57</v>
      </c>
      <c r="G260">
        <v>4.5</v>
      </c>
      <c r="H260" t="s">
        <v>342</v>
      </c>
      <c r="I260">
        <v>0</v>
      </c>
      <c r="J260" s="22" t="s">
        <v>50</v>
      </c>
      <c r="K260" s="22" t="s">
        <v>26</v>
      </c>
      <c r="L260" s="21">
        <v>45323</v>
      </c>
      <c r="M260">
        <v>2</v>
      </c>
      <c r="N260">
        <v>2024</v>
      </c>
      <c r="O260">
        <v>1</v>
      </c>
      <c r="P260">
        <v>4.5</v>
      </c>
    </row>
    <row r="261" spans="1:16" x14ac:dyDescent="0.25">
      <c r="A261">
        <v>71</v>
      </c>
      <c r="B261" s="21">
        <v>45346</v>
      </c>
      <c r="C261" t="s">
        <v>340</v>
      </c>
      <c r="D261" s="22" t="s">
        <v>103</v>
      </c>
      <c r="E261" s="22" t="s">
        <v>35</v>
      </c>
      <c r="F261" s="22" t="s">
        <v>95</v>
      </c>
      <c r="G261">
        <v>54.9</v>
      </c>
      <c r="H261" t="s">
        <v>342</v>
      </c>
      <c r="I261">
        <v>0</v>
      </c>
      <c r="J261" s="22" t="s">
        <v>31</v>
      </c>
      <c r="K261" s="22" t="s">
        <v>19</v>
      </c>
      <c r="L261" s="21">
        <v>45323</v>
      </c>
      <c r="M261">
        <v>2</v>
      </c>
      <c r="N261">
        <v>2024</v>
      </c>
      <c r="O261">
        <v>18</v>
      </c>
      <c r="P261">
        <v>988.19999999999993</v>
      </c>
    </row>
    <row r="262" spans="1:16" x14ac:dyDescent="0.25">
      <c r="A262">
        <v>8</v>
      </c>
      <c r="B262" s="21">
        <v>45344</v>
      </c>
      <c r="C262" t="s">
        <v>340</v>
      </c>
      <c r="D262" s="22" t="s">
        <v>85</v>
      </c>
      <c r="E262" s="22" t="s">
        <v>23</v>
      </c>
      <c r="F262" s="22" t="s">
        <v>86</v>
      </c>
      <c r="G262">
        <v>7.9</v>
      </c>
      <c r="H262" t="s">
        <v>342</v>
      </c>
      <c r="I262">
        <v>0</v>
      </c>
      <c r="J262" s="22" t="s">
        <v>31</v>
      </c>
      <c r="K262" s="22" t="s">
        <v>19</v>
      </c>
      <c r="L262" s="21">
        <v>45323</v>
      </c>
      <c r="M262">
        <v>2</v>
      </c>
      <c r="N262">
        <v>2024</v>
      </c>
      <c r="O262">
        <v>13</v>
      </c>
      <c r="P262">
        <v>102.7</v>
      </c>
    </row>
    <row r="263" spans="1:16" x14ac:dyDescent="0.25">
      <c r="A263">
        <v>162</v>
      </c>
      <c r="B263" s="21">
        <v>45344</v>
      </c>
      <c r="C263" t="s">
        <v>340</v>
      </c>
      <c r="D263" s="22" t="s">
        <v>43</v>
      </c>
      <c r="E263" s="22" t="s">
        <v>23</v>
      </c>
      <c r="F263" s="22" t="s">
        <v>44</v>
      </c>
      <c r="G263">
        <v>12.9</v>
      </c>
      <c r="H263" t="s">
        <v>342</v>
      </c>
      <c r="I263">
        <v>0</v>
      </c>
      <c r="J263" s="22" t="s">
        <v>18</v>
      </c>
      <c r="K263" s="22" t="s">
        <v>19</v>
      </c>
      <c r="L263" s="21">
        <v>45323</v>
      </c>
      <c r="M263">
        <v>2</v>
      </c>
      <c r="N263">
        <v>2024</v>
      </c>
      <c r="O263">
        <v>19</v>
      </c>
      <c r="P263">
        <v>245.1</v>
      </c>
    </row>
    <row r="264" spans="1:16" x14ac:dyDescent="0.25">
      <c r="A264">
        <v>209</v>
      </c>
      <c r="B264" s="21">
        <v>45343</v>
      </c>
      <c r="C264" t="s">
        <v>340</v>
      </c>
      <c r="D264" s="22" t="s">
        <v>77</v>
      </c>
      <c r="E264" s="22" t="s">
        <v>74</v>
      </c>
      <c r="F264" s="22" t="s">
        <v>57</v>
      </c>
      <c r="G264">
        <v>3.9</v>
      </c>
      <c r="H264" t="s">
        <v>342</v>
      </c>
      <c r="I264">
        <v>5.85</v>
      </c>
      <c r="J264" s="22" t="s">
        <v>25</v>
      </c>
      <c r="K264" s="22" t="s">
        <v>26</v>
      </c>
      <c r="L264" s="21">
        <v>45323</v>
      </c>
      <c r="M264">
        <v>2</v>
      </c>
      <c r="N264">
        <v>2024</v>
      </c>
      <c r="O264">
        <v>28</v>
      </c>
      <c r="P264">
        <v>111.14999999999999</v>
      </c>
    </row>
    <row r="265" spans="1:16" x14ac:dyDescent="0.25">
      <c r="A265">
        <v>170</v>
      </c>
      <c r="B265" s="21">
        <v>45342</v>
      </c>
      <c r="C265" t="s">
        <v>340</v>
      </c>
      <c r="D265" s="22" t="s">
        <v>94</v>
      </c>
      <c r="E265" s="22" t="s">
        <v>35</v>
      </c>
      <c r="F265" s="22" t="s">
        <v>95</v>
      </c>
      <c r="G265">
        <v>19.899999999999999</v>
      </c>
      <c r="H265" t="s">
        <v>342</v>
      </c>
      <c r="I265">
        <v>0</v>
      </c>
      <c r="J265" s="22" t="s">
        <v>31</v>
      </c>
      <c r="K265" s="22" t="s">
        <v>26</v>
      </c>
      <c r="L265" s="21">
        <v>45323</v>
      </c>
      <c r="M265">
        <v>2</v>
      </c>
      <c r="N265">
        <v>2024</v>
      </c>
      <c r="O265">
        <v>7</v>
      </c>
      <c r="P265">
        <v>139.29999999999998</v>
      </c>
    </row>
    <row r="266" spans="1:16" x14ac:dyDescent="0.25">
      <c r="A266">
        <v>46</v>
      </c>
      <c r="B266" s="21">
        <v>45340</v>
      </c>
      <c r="C266" t="s">
        <v>340</v>
      </c>
      <c r="D266" s="22" t="s">
        <v>217</v>
      </c>
      <c r="E266" s="22" t="s">
        <v>23</v>
      </c>
      <c r="F266" s="22" t="s">
        <v>24</v>
      </c>
      <c r="G266">
        <v>4.5</v>
      </c>
      <c r="H266" t="s">
        <v>342</v>
      </c>
      <c r="I266">
        <v>4.95</v>
      </c>
      <c r="J266" s="22" t="s">
        <v>31</v>
      </c>
      <c r="K266" s="22" t="s">
        <v>19</v>
      </c>
      <c r="L266" s="21">
        <v>45323</v>
      </c>
      <c r="M266">
        <v>2</v>
      </c>
      <c r="N266">
        <v>2024</v>
      </c>
      <c r="O266">
        <v>20</v>
      </c>
      <c r="P266">
        <v>94.05</v>
      </c>
    </row>
    <row r="267" spans="1:16" x14ac:dyDescent="0.25">
      <c r="A267">
        <v>271</v>
      </c>
      <c r="B267" s="21">
        <v>45340</v>
      </c>
      <c r="C267" t="s">
        <v>340</v>
      </c>
      <c r="D267" s="22" t="s">
        <v>141</v>
      </c>
      <c r="E267" s="22" t="s">
        <v>29</v>
      </c>
      <c r="F267" s="22" t="s">
        <v>346</v>
      </c>
      <c r="G267">
        <v>2.5</v>
      </c>
      <c r="H267" t="s">
        <v>342</v>
      </c>
      <c r="I267">
        <v>0</v>
      </c>
      <c r="J267" s="22" t="s">
        <v>40</v>
      </c>
      <c r="K267" s="22" t="s">
        <v>19</v>
      </c>
      <c r="L267" s="21">
        <v>45323</v>
      </c>
      <c r="M267">
        <v>2</v>
      </c>
      <c r="N267">
        <v>2024</v>
      </c>
      <c r="O267">
        <v>14</v>
      </c>
      <c r="P267">
        <v>35</v>
      </c>
    </row>
    <row r="268" spans="1:16" x14ac:dyDescent="0.25">
      <c r="A268">
        <v>74</v>
      </c>
      <c r="B268" s="21">
        <v>45339</v>
      </c>
      <c r="C268" t="s">
        <v>340</v>
      </c>
      <c r="D268" s="22" t="s">
        <v>39</v>
      </c>
      <c r="E268" s="22" t="s">
        <v>16</v>
      </c>
      <c r="F268" s="22" t="s">
        <v>343</v>
      </c>
      <c r="G268">
        <v>12.9</v>
      </c>
      <c r="H268" t="s">
        <v>342</v>
      </c>
      <c r="I268">
        <v>0</v>
      </c>
      <c r="J268" s="22" t="s">
        <v>25</v>
      </c>
      <c r="K268" s="22" t="s">
        <v>32</v>
      </c>
      <c r="L268" s="21">
        <v>45323</v>
      </c>
      <c r="M268">
        <v>2</v>
      </c>
      <c r="N268">
        <v>2024</v>
      </c>
      <c r="O268">
        <v>14</v>
      </c>
      <c r="P268">
        <v>180.6</v>
      </c>
    </row>
    <row r="269" spans="1:16" x14ac:dyDescent="0.25">
      <c r="A269">
        <v>196</v>
      </c>
      <c r="B269" s="21">
        <v>45339</v>
      </c>
      <c r="C269" t="s">
        <v>340</v>
      </c>
      <c r="D269" s="22" t="s">
        <v>112</v>
      </c>
      <c r="E269" s="22" t="s">
        <v>61</v>
      </c>
      <c r="F269" s="22" t="s">
        <v>113</v>
      </c>
      <c r="G269">
        <v>4.9000000000000004</v>
      </c>
      <c r="H269" t="s">
        <v>342</v>
      </c>
      <c r="I269">
        <v>0</v>
      </c>
      <c r="J269" s="22" t="s">
        <v>18</v>
      </c>
      <c r="K269" s="22" t="s">
        <v>32</v>
      </c>
      <c r="L269" s="21">
        <v>45323</v>
      </c>
      <c r="M269">
        <v>2</v>
      </c>
      <c r="N269">
        <v>2024</v>
      </c>
      <c r="O269">
        <v>27</v>
      </c>
      <c r="P269">
        <v>132.30000000000001</v>
      </c>
    </row>
    <row r="270" spans="1:16" x14ac:dyDescent="0.25">
      <c r="A270">
        <v>24</v>
      </c>
      <c r="B270" s="21">
        <v>45338</v>
      </c>
      <c r="C270" t="s">
        <v>340</v>
      </c>
      <c r="D270" s="22" t="s">
        <v>94</v>
      </c>
      <c r="E270" s="22" t="s">
        <v>35</v>
      </c>
      <c r="F270" s="22" t="s">
        <v>95</v>
      </c>
      <c r="G270">
        <v>19.899999999999999</v>
      </c>
      <c r="H270" t="s">
        <v>342</v>
      </c>
      <c r="I270">
        <v>0</v>
      </c>
      <c r="J270" s="22" t="s">
        <v>45</v>
      </c>
      <c r="K270" s="22" t="s">
        <v>26</v>
      </c>
      <c r="L270" s="21">
        <v>45323</v>
      </c>
      <c r="M270">
        <v>2</v>
      </c>
      <c r="N270">
        <v>2024</v>
      </c>
      <c r="O270">
        <v>2</v>
      </c>
      <c r="P270">
        <v>39.799999999999997</v>
      </c>
    </row>
    <row r="271" spans="1:16" x14ac:dyDescent="0.25">
      <c r="A271">
        <v>215</v>
      </c>
      <c r="B271" s="21">
        <v>45338</v>
      </c>
      <c r="C271" t="s">
        <v>340</v>
      </c>
      <c r="D271" s="22" t="s">
        <v>108</v>
      </c>
      <c r="E271" s="22" t="s">
        <v>68</v>
      </c>
      <c r="F271" s="22" t="s">
        <v>49</v>
      </c>
      <c r="G271">
        <v>24.9</v>
      </c>
      <c r="H271" t="s">
        <v>342</v>
      </c>
      <c r="I271">
        <v>0</v>
      </c>
      <c r="J271" s="22" t="s">
        <v>18</v>
      </c>
      <c r="K271" s="22" t="s">
        <v>32</v>
      </c>
      <c r="L271" s="21">
        <v>45323</v>
      </c>
      <c r="M271">
        <v>2</v>
      </c>
      <c r="N271">
        <v>2024</v>
      </c>
      <c r="O271">
        <v>4</v>
      </c>
      <c r="P271">
        <v>99.6</v>
      </c>
    </row>
    <row r="272" spans="1:16" x14ac:dyDescent="0.25">
      <c r="A272">
        <v>273</v>
      </c>
      <c r="B272" s="21">
        <v>45335</v>
      </c>
      <c r="C272" t="s">
        <v>340</v>
      </c>
      <c r="D272" s="22" t="s">
        <v>85</v>
      </c>
      <c r="E272" s="22" t="s">
        <v>23</v>
      </c>
      <c r="F272" s="22" t="s">
        <v>86</v>
      </c>
      <c r="G272">
        <v>7.9</v>
      </c>
      <c r="H272" t="s">
        <v>342</v>
      </c>
      <c r="I272">
        <v>0</v>
      </c>
      <c r="J272" s="22" t="s">
        <v>40</v>
      </c>
      <c r="K272" s="22" t="s">
        <v>26</v>
      </c>
      <c r="L272" s="21">
        <v>45323</v>
      </c>
      <c r="M272">
        <v>2</v>
      </c>
      <c r="N272">
        <v>2024</v>
      </c>
      <c r="O272">
        <v>14</v>
      </c>
      <c r="P272">
        <v>110.60000000000001</v>
      </c>
    </row>
    <row r="273" spans="1:16" x14ac:dyDescent="0.25">
      <c r="A273">
        <v>62</v>
      </c>
      <c r="B273" s="21">
        <v>45333</v>
      </c>
      <c r="C273" t="s">
        <v>340</v>
      </c>
      <c r="D273" s="22" t="s">
        <v>134</v>
      </c>
      <c r="E273" s="22" t="s">
        <v>68</v>
      </c>
      <c r="F273" s="22" t="s">
        <v>17</v>
      </c>
      <c r="G273">
        <v>0.75</v>
      </c>
      <c r="H273" t="s">
        <v>342</v>
      </c>
      <c r="I273">
        <v>1.65</v>
      </c>
      <c r="J273" s="22" t="s">
        <v>50</v>
      </c>
      <c r="K273" s="22" t="s">
        <v>26</v>
      </c>
      <c r="L273" s="21">
        <v>45323</v>
      </c>
      <c r="M273">
        <v>2</v>
      </c>
      <c r="N273">
        <v>2024</v>
      </c>
      <c r="O273">
        <v>19</v>
      </c>
      <c r="P273">
        <v>14.850000000000001</v>
      </c>
    </row>
    <row r="274" spans="1:16" x14ac:dyDescent="0.25">
      <c r="A274">
        <v>171</v>
      </c>
      <c r="B274" s="21">
        <v>45333</v>
      </c>
      <c r="C274" t="s">
        <v>340</v>
      </c>
      <c r="D274" s="22" t="s">
        <v>100</v>
      </c>
      <c r="E274" s="22" t="s">
        <v>23</v>
      </c>
      <c r="F274" s="22" t="s">
        <v>101</v>
      </c>
      <c r="G274">
        <v>5.9</v>
      </c>
      <c r="H274" t="s">
        <v>342</v>
      </c>
      <c r="I274">
        <v>0</v>
      </c>
      <c r="J274" s="22" t="s">
        <v>50</v>
      </c>
      <c r="K274" s="22" t="s">
        <v>32</v>
      </c>
      <c r="L274" s="21">
        <v>45323</v>
      </c>
      <c r="M274">
        <v>2</v>
      </c>
      <c r="N274">
        <v>2024</v>
      </c>
      <c r="O274">
        <v>8</v>
      </c>
      <c r="P274">
        <v>47.2</v>
      </c>
    </row>
    <row r="275" spans="1:16" x14ac:dyDescent="0.25">
      <c r="A275">
        <v>115</v>
      </c>
      <c r="B275" s="21">
        <v>45331</v>
      </c>
      <c r="C275" t="s">
        <v>340</v>
      </c>
      <c r="D275" s="22" t="s">
        <v>136</v>
      </c>
      <c r="E275" s="22" t="s">
        <v>35</v>
      </c>
      <c r="F275" s="22" t="s">
        <v>137</v>
      </c>
      <c r="G275">
        <v>4.9000000000000004</v>
      </c>
      <c r="H275" t="s">
        <v>342</v>
      </c>
      <c r="I275">
        <v>0</v>
      </c>
      <c r="J275" s="22" t="s">
        <v>31</v>
      </c>
      <c r="K275" s="22" t="s">
        <v>19</v>
      </c>
      <c r="L275" s="21">
        <v>45323</v>
      </c>
      <c r="M275">
        <v>2</v>
      </c>
      <c r="N275">
        <v>2024</v>
      </c>
      <c r="O275">
        <v>10</v>
      </c>
      <c r="P275">
        <v>49</v>
      </c>
    </row>
    <row r="276" spans="1:16" x14ac:dyDescent="0.25">
      <c r="A276">
        <v>51</v>
      </c>
      <c r="B276" s="21">
        <v>45330</v>
      </c>
      <c r="C276" t="s">
        <v>340</v>
      </c>
      <c r="D276" s="22" t="s">
        <v>139</v>
      </c>
      <c r="E276" s="22" t="s">
        <v>68</v>
      </c>
      <c r="F276" s="22" t="s">
        <v>17</v>
      </c>
      <c r="G276">
        <v>4.5</v>
      </c>
      <c r="H276" t="s">
        <v>342</v>
      </c>
      <c r="I276">
        <v>11.7</v>
      </c>
      <c r="J276" s="22" t="s">
        <v>25</v>
      </c>
      <c r="K276" s="22" t="s">
        <v>32</v>
      </c>
      <c r="L276" s="21">
        <v>45323</v>
      </c>
      <c r="M276">
        <v>2</v>
      </c>
      <c r="N276">
        <v>2024</v>
      </c>
      <c r="O276">
        <v>23</v>
      </c>
      <c r="P276">
        <v>105.3</v>
      </c>
    </row>
    <row r="277" spans="1:16" x14ac:dyDescent="0.25">
      <c r="A277">
        <v>65</v>
      </c>
      <c r="B277" s="21">
        <v>45329</v>
      </c>
      <c r="C277" t="s">
        <v>340</v>
      </c>
      <c r="D277" s="22" t="s">
        <v>43</v>
      </c>
      <c r="E277" s="22" t="s">
        <v>23</v>
      </c>
      <c r="F277" s="22" t="s">
        <v>44</v>
      </c>
      <c r="G277">
        <v>12.9</v>
      </c>
      <c r="H277" t="s">
        <v>342</v>
      </c>
      <c r="I277">
        <v>19.350000000000001</v>
      </c>
      <c r="J277" s="22" t="s">
        <v>50</v>
      </c>
      <c r="K277" s="22" t="s">
        <v>32</v>
      </c>
      <c r="L277" s="21">
        <v>45323</v>
      </c>
      <c r="M277">
        <v>2</v>
      </c>
      <c r="N277">
        <v>2024</v>
      </c>
      <c r="O277">
        <v>13</v>
      </c>
      <c r="P277">
        <v>174.15</v>
      </c>
    </row>
    <row r="278" spans="1:16" x14ac:dyDescent="0.25">
      <c r="A278">
        <v>66</v>
      </c>
      <c r="B278" s="21">
        <v>45329</v>
      </c>
      <c r="C278" t="s">
        <v>340</v>
      </c>
      <c r="D278" s="22" t="s">
        <v>122</v>
      </c>
      <c r="E278" s="22" t="s">
        <v>74</v>
      </c>
      <c r="F278" s="22" t="s">
        <v>57</v>
      </c>
      <c r="G278">
        <v>7.9</v>
      </c>
      <c r="H278" t="s">
        <v>342</v>
      </c>
      <c r="I278">
        <v>5.53</v>
      </c>
      <c r="J278" s="22" t="s">
        <v>31</v>
      </c>
      <c r="K278" s="22" t="s">
        <v>32</v>
      </c>
      <c r="L278" s="21">
        <v>45323</v>
      </c>
      <c r="M278">
        <v>2</v>
      </c>
      <c r="N278">
        <v>2024</v>
      </c>
      <c r="O278">
        <v>6</v>
      </c>
      <c r="P278">
        <v>49.77</v>
      </c>
    </row>
    <row r="279" spans="1:16" x14ac:dyDescent="0.25">
      <c r="A279">
        <v>87</v>
      </c>
      <c r="B279" s="21">
        <v>45327</v>
      </c>
      <c r="C279" t="s">
        <v>340</v>
      </c>
      <c r="D279" s="22" t="s">
        <v>96</v>
      </c>
      <c r="E279" s="22" t="s">
        <v>61</v>
      </c>
      <c r="F279" s="22" t="s">
        <v>62</v>
      </c>
      <c r="G279">
        <v>9.9</v>
      </c>
      <c r="H279" t="s">
        <v>342</v>
      </c>
      <c r="I279">
        <v>11.88</v>
      </c>
      <c r="J279" s="22" t="s">
        <v>18</v>
      </c>
      <c r="K279" s="22" t="s">
        <v>26</v>
      </c>
      <c r="L279" s="21">
        <v>45323</v>
      </c>
      <c r="M279">
        <v>2</v>
      </c>
      <c r="N279">
        <v>2024</v>
      </c>
      <c r="O279">
        <v>10</v>
      </c>
      <c r="P279">
        <v>106.92000000000002</v>
      </c>
    </row>
    <row r="280" spans="1:16" x14ac:dyDescent="0.25">
      <c r="A280">
        <v>35</v>
      </c>
      <c r="B280" s="21">
        <v>45327</v>
      </c>
      <c r="C280" t="s">
        <v>340</v>
      </c>
      <c r="D280" s="22" t="s">
        <v>94</v>
      </c>
      <c r="E280" s="22" t="s">
        <v>35</v>
      </c>
      <c r="F280" s="22" t="s">
        <v>95</v>
      </c>
      <c r="G280">
        <v>19.899999999999999</v>
      </c>
      <c r="H280" t="s">
        <v>342</v>
      </c>
      <c r="I280">
        <v>0</v>
      </c>
      <c r="J280" s="22" t="s">
        <v>45</v>
      </c>
      <c r="K280" s="22" t="s">
        <v>26</v>
      </c>
      <c r="L280" s="21">
        <v>45323</v>
      </c>
      <c r="M280">
        <v>2</v>
      </c>
      <c r="N280">
        <v>2024</v>
      </c>
      <c r="O280">
        <v>18</v>
      </c>
      <c r="P280">
        <v>358.2</v>
      </c>
    </row>
    <row r="281" spans="1:16" x14ac:dyDescent="0.25">
      <c r="A281">
        <v>94</v>
      </c>
      <c r="B281" s="21">
        <v>45327</v>
      </c>
      <c r="C281" t="s">
        <v>340</v>
      </c>
      <c r="D281" s="22" t="s">
        <v>15</v>
      </c>
      <c r="E281" s="22" t="s">
        <v>16</v>
      </c>
      <c r="F281" s="22" t="s">
        <v>17</v>
      </c>
      <c r="G281">
        <v>3.9</v>
      </c>
      <c r="H281" t="s">
        <v>342</v>
      </c>
      <c r="I281">
        <v>0</v>
      </c>
      <c r="J281" s="22" t="s">
        <v>50</v>
      </c>
      <c r="K281" s="22" t="s">
        <v>19</v>
      </c>
      <c r="L281" s="21">
        <v>45323</v>
      </c>
      <c r="M281">
        <v>2</v>
      </c>
      <c r="N281">
        <v>2024</v>
      </c>
      <c r="O281">
        <v>30</v>
      </c>
      <c r="P281">
        <v>117</v>
      </c>
    </row>
    <row r="282" spans="1:16" x14ac:dyDescent="0.25">
      <c r="A282">
        <v>243</v>
      </c>
      <c r="B282" s="21">
        <v>45324</v>
      </c>
      <c r="C282" t="s">
        <v>340</v>
      </c>
      <c r="D282" s="22" t="s">
        <v>39</v>
      </c>
      <c r="E282" s="22" t="s">
        <v>16</v>
      </c>
      <c r="F282" s="22" t="s">
        <v>343</v>
      </c>
      <c r="G282">
        <v>12.9</v>
      </c>
      <c r="H282" t="s">
        <v>342</v>
      </c>
      <c r="I282">
        <v>17.41</v>
      </c>
      <c r="J282" s="22" t="s">
        <v>40</v>
      </c>
      <c r="K282" s="22" t="s">
        <v>19</v>
      </c>
      <c r="L282" s="21">
        <v>45323</v>
      </c>
      <c r="M282">
        <v>2</v>
      </c>
      <c r="N282">
        <v>2024</v>
      </c>
      <c r="O282">
        <v>25</v>
      </c>
      <c r="P282">
        <v>330.88499999999999</v>
      </c>
    </row>
    <row r="283" spans="1:16" x14ac:dyDescent="0.25">
      <c r="A283">
        <v>54</v>
      </c>
      <c r="B283" s="21">
        <v>45322</v>
      </c>
      <c r="C283" t="s">
        <v>340</v>
      </c>
      <c r="D283" s="22" t="s">
        <v>100</v>
      </c>
      <c r="E283" s="22" t="s">
        <v>23</v>
      </c>
      <c r="F283" s="22" t="s">
        <v>101</v>
      </c>
      <c r="G283">
        <v>5.9</v>
      </c>
      <c r="H283" t="s">
        <v>342</v>
      </c>
      <c r="I283">
        <v>0</v>
      </c>
      <c r="J283" s="22" t="s">
        <v>18</v>
      </c>
      <c r="K283" s="22" t="s">
        <v>19</v>
      </c>
      <c r="L283" s="21">
        <v>45292</v>
      </c>
      <c r="M283">
        <v>1</v>
      </c>
      <c r="N283">
        <v>2024</v>
      </c>
      <c r="O283">
        <v>13</v>
      </c>
      <c r="P283">
        <v>76.7</v>
      </c>
    </row>
    <row r="284" spans="1:16" x14ac:dyDescent="0.25">
      <c r="A284">
        <v>58</v>
      </c>
      <c r="B284" s="21">
        <v>45321</v>
      </c>
      <c r="C284" t="s">
        <v>340</v>
      </c>
      <c r="D284" s="22" t="s">
        <v>204</v>
      </c>
      <c r="E284" s="22" t="s">
        <v>23</v>
      </c>
      <c r="F284" s="22" t="s">
        <v>49</v>
      </c>
      <c r="G284">
        <v>3.5</v>
      </c>
      <c r="H284" t="s">
        <v>342</v>
      </c>
      <c r="I284">
        <v>3.33</v>
      </c>
      <c r="J284" s="22" t="s">
        <v>50</v>
      </c>
      <c r="K284" s="22" t="s">
        <v>26</v>
      </c>
      <c r="L284" s="21">
        <v>45292</v>
      </c>
      <c r="M284">
        <v>1</v>
      </c>
      <c r="N284">
        <v>2024</v>
      </c>
      <c r="O284">
        <v>18</v>
      </c>
      <c r="P284">
        <v>63.175000000000004</v>
      </c>
    </row>
    <row r="285" spans="1:16" x14ac:dyDescent="0.25">
      <c r="A285">
        <v>217</v>
      </c>
      <c r="B285" s="21">
        <v>45320</v>
      </c>
      <c r="C285" t="s">
        <v>340</v>
      </c>
      <c r="D285" s="22" t="s">
        <v>154</v>
      </c>
      <c r="E285" s="22" t="s">
        <v>29</v>
      </c>
      <c r="F285" s="22" t="s">
        <v>345</v>
      </c>
      <c r="G285">
        <v>8.5</v>
      </c>
      <c r="H285" t="s">
        <v>342</v>
      </c>
      <c r="I285">
        <v>0</v>
      </c>
      <c r="J285" s="22" t="s">
        <v>18</v>
      </c>
      <c r="K285" s="22" t="s">
        <v>32</v>
      </c>
      <c r="L285" s="21">
        <v>45292</v>
      </c>
      <c r="M285">
        <v>1</v>
      </c>
      <c r="N285">
        <v>2024</v>
      </c>
      <c r="O285">
        <v>12</v>
      </c>
      <c r="P285">
        <v>102</v>
      </c>
    </row>
    <row r="286" spans="1:16" x14ac:dyDescent="0.25">
      <c r="A286">
        <v>191</v>
      </c>
      <c r="B286" s="21">
        <v>45319</v>
      </c>
      <c r="C286" t="s">
        <v>340</v>
      </c>
      <c r="D286" s="22" t="s">
        <v>132</v>
      </c>
      <c r="E286" s="22" t="s">
        <v>61</v>
      </c>
      <c r="F286" s="22" t="s">
        <v>343</v>
      </c>
      <c r="G286">
        <v>4.2</v>
      </c>
      <c r="H286" t="s">
        <v>342</v>
      </c>
      <c r="I286">
        <v>0</v>
      </c>
      <c r="J286" s="22" t="s">
        <v>50</v>
      </c>
      <c r="K286" s="22" t="s">
        <v>19</v>
      </c>
      <c r="L286" s="21">
        <v>45292</v>
      </c>
      <c r="M286">
        <v>1</v>
      </c>
      <c r="N286">
        <v>2024</v>
      </c>
      <c r="O286">
        <v>17</v>
      </c>
      <c r="P286">
        <v>71.400000000000006</v>
      </c>
    </row>
    <row r="287" spans="1:16" x14ac:dyDescent="0.25">
      <c r="A287">
        <v>161</v>
      </c>
      <c r="B287" s="21">
        <v>45319</v>
      </c>
      <c r="C287" t="s">
        <v>340</v>
      </c>
      <c r="D287" s="22" t="s">
        <v>128</v>
      </c>
      <c r="E287" s="22" t="s">
        <v>74</v>
      </c>
      <c r="F287" s="22" t="s">
        <v>57</v>
      </c>
      <c r="G287">
        <v>5.9</v>
      </c>
      <c r="H287" t="s">
        <v>342</v>
      </c>
      <c r="I287">
        <v>0</v>
      </c>
      <c r="J287" s="22" t="s">
        <v>40</v>
      </c>
      <c r="K287" s="22" t="s">
        <v>19</v>
      </c>
      <c r="L287" s="21">
        <v>45292</v>
      </c>
      <c r="M287">
        <v>1</v>
      </c>
      <c r="N287">
        <v>2024</v>
      </c>
      <c r="O287">
        <v>10</v>
      </c>
      <c r="P287">
        <v>59</v>
      </c>
    </row>
    <row r="288" spans="1:16" x14ac:dyDescent="0.25">
      <c r="A288">
        <v>130</v>
      </c>
      <c r="B288" s="21">
        <v>45318</v>
      </c>
      <c r="C288" t="s">
        <v>340</v>
      </c>
      <c r="D288" s="22" t="s">
        <v>144</v>
      </c>
      <c r="E288" s="22" t="s">
        <v>29</v>
      </c>
      <c r="F288" s="22" t="s">
        <v>145</v>
      </c>
      <c r="G288">
        <v>3.9</v>
      </c>
      <c r="H288" t="s">
        <v>342</v>
      </c>
      <c r="I288">
        <v>0</v>
      </c>
      <c r="J288" s="22" t="s">
        <v>40</v>
      </c>
      <c r="K288" s="22" t="s">
        <v>32</v>
      </c>
      <c r="L288" s="21">
        <v>45292</v>
      </c>
      <c r="M288">
        <v>1</v>
      </c>
      <c r="N288">
        <v>2024</v>
      </c>
      <c r="O288">
        <v>8</v>
      </c>
      <c r="P288">
        <v>31.2</v>
      </c>
    </row>
    <row r="289" spans="1:16" x14ac:dyDescent="0.25">
      <c r="A289">
        <v>92</v>
      </c>
      <c r="B289" s="21">
        <v>45314</v>
      </c>
      <c r="C289" t="s">
        <v>340</v>
      </c>
      <c r="D289" s="22" t="s">
        <v>136</v>
      </c>
      <c r="E289" s="22" t="s">
        <v>35</v>
      </c>
      <c r="F289" s="22" t="s">
        <v>137</v>
      </c>
      <c r="G289">
        <v>4.9000000000000004</v>
      </c>
      <c r="H289" t="s">
        <v>342</v>
      </c>
      <c r="I289">
        <v>0</v>
      </c>
      <c r="J289" s="22" t="s">
        <v>50</v>
      </c>
      <c r="K289" s="22" t="s">
        <v>26</v>
      </c>
      <c r="L289" s="21">
        <v>45292</v>
      </c>
      <c r="M289">
        <v>1</v>
      </c>
      <c r="N289">
        <v>2024</v>
      </c>
      <c r="O289">
        <v>14</v>
      </c>
      <c r="P289">
        <v>68.600000000000009</v>
      </c>
    </row>
    <row r="290" spans="1:16" x14ac:dyDescent="0.25">
      <c r="A290">
        <v>79</v>
      </c>
      <c r="B290" s="21">
        <v>45313</v>
      </c>
      <c r="C290" t="s">
        <v>340</v>
      </c>
      <c r="D290" s="22" t="s">
        <v>126</v>
      </c>
      <c r="E290" s="22" t="s">
        <v>29</v>
      </c>
      <c r="F290" s="22" t="s">
        <v>345</v>
      </c>
      <c r="G290">
        <v>6.9</v>
      </c>
      <c r="H290" t="s">
        <v>342</v>
      </c>
      <c r="I290">
        <v>0</v>
      </c>
      <c r="J290" s="22" t="s">
        <v>31</v>
      </c>
      <c r="K290" s="22" t="s">
        <v>32</v>
      </c>
      <c r="L290" s="21">
        <v>45292</v>
      </c>
      <c r="M290">
        <v>1</v>
      </c>
      <c r="N290">
        <v>2024</v>
      </c>
      <c r="O290">
        <v>12</v>
      </c>
      <c r="P290">
        <v>82.800000000000011</v>
      </c>
    </row>
    <row r="291" spans="1:16" x14ac:dyDescent="0.25">
      <c r="A291">
        <v>285</v>
      </c>
      <c r="B291" s="21">
        <v>45307</v>
      </c>
      <c r="C291" t="s">
        <v>340</v>
      </c>
      <c r="D291" s="22" t="s">
        <v>85</v>
      </c>
      <c r="E291" s="22" t="s">
        <v>23</v>
      </c>
      <c r="F291" s="22" t="s">
        <v>86</v>
      </c>
      <c r="G291">
        <v>7.9</v>
      </c>
      <c r="H291" t="s">
        <v>342</v>
      </c>
      <c r="I291">
        <v>18.96</v>
      </c>
      <c r="J291" s="22" t="s">
        <v>45</v>
      </c>
      <c r="K291" s="22" t="s">
        <v>19</v>
      </c>
      <c r="L291" s="21">
        <v>45292</v>
      </c>
      <c r="M291">
        <v>1</v>
      </c>
      <c r="N291">
        <v>2024</v>
      </c>
      <c r="O291">
        <v>21</v>
      </c>
      <c r="P291">
        <v>170.64000000000001</v>
      </c>
    </row>
    <row r="292" spans="1:16" x14ac:dyDescent="0.25">
      <c r="A292">
        <v>131</v>
      </c>
      <c r="B292" s="21">
        <v>45307</v>
      </c>
      <c r="C292" t="s">
        <v>340</v>
      </c>
      <c r="D292" s="22" t="s">
        <v>207</v>
      </c>
      <c r="E292" s="22" t="s">
        <v>61</v>
      </c>
      <c r="F292" s="22" t="s">
        <v>57</v>
      </c>
      <c r="G292">
        <v>32.9</v>
      </c>
      <c r="H292" t="s">
        <v>342</v>
      </c>
      <c r="I292">
        <v>0</v>
      </c>
      <c r="J292" s="22" t="s">
        <v>50</v>
      </c>
      <c r="K292" s="22" t="s">
        <v>32</v>
      </c>
      <c r="L292" s="21">
        <v>45292</v>
      </c>
      <c r="M292">
        <v>1</v>
      </c>
      <c r="N292">
        <v>2024</v>
      </c>
      <c r="O292">
        <v>7</v>
      </c>
      <c r="P292">
        <v>230.29999999999998</v>
      </c>
    </row>
    <row r="293" spans="1:16" x14ac:dyDescent="0.25">
      <c r="A293">
        <v>258</v>
      </c>
      <c r="B293" s="21">
        <v>45305</v>
      </c>
      <c r="C293" t="s">
        <v>340</v>
      </c>
      <c r="D293" s="22" t="s">
        <v>48</v>
      </c>
      <c r="E293" s="22" t="s">
        <v>23</v>
      </c>
      <c r="F293" s="22" t="s">
        <v>49</v>
      </c>
      <c r="G293">
        <v>18.899999999999999</v>
      </c>
      <c r="H293" t="s">
        <v>342</v>
      </c>
      <c r="I293">
        <v>0</v>
      </c>
      <c r="J293" s="22" t="s">
        <v>45</v>
      </c>
      <c r="K293" s="22" t="s">
        <v>26</v>
      </c>
      <c r="L293" s="21">
        <v>45292</v>
      </c>
      <c r="M293">
        <v>1</v>
      </c>
      <c r="N293">
        <v>2024</v>
      </c>
      <c r="O293">
        <v>1</v>
      </c>
      <c r="P293">
        <v>18.899999999999999</v>
      </c>
    </row>
    <row r="294" spans="1:16" x14ac:dyDescent="0.25">
      <c r="A294">
        <v>105</v>
      </c>
      <c r="B294" s="21">
        <v>45304</v>
      </c>
      <c r="C294" t="s">
        <v>340</v>
      </c>
      <c r="D294" s="22" t="s">
        <v>64</v>
      </c>
      <c r="E294" s="22" t="s">
        <v>23</v>
      </c>
      <c r="F294" s="22" t="s">
        <v>24</v>
      </c>
      <c r="G294">
        <v>9.1999999999999993</v>
      </c>
      <c r="H294" t="s">
        <v>342</v>
      </c>
      <c r="I294">
        <v>3.68</v>
      </c>
      <c r="J294" s="22" t="s">
        <v>50</v>
      </c>
      <c r="K294" s="22" t="s">
        <v>32</v>
      </c>
      <c r="L294" s="21">
        <v>45292</v>
      </c>
      <c r="M294">
        <v>1</v>
      </c>
      <c r="N294">
        <v>2024</v>
      </c>
      <c r="O294">
        <v>7</v>
      </c>
      <c r="P294">
        <v>69.919999999999987</v>
      </c>
    </row>
    <row r="295" spans="1:16" x14ac:dyDescent="0.25">
      <c r="A295">
        <v>86</v>
      </c>
      <c r="B295" s="21">
        <v>45304</v>
      </c>
      <c r="C295" t="s">
        <v>340</v>
      </c>
      <c r="D295" s="22" t="s">
        <v>15</v>
      </c>
      <c r="E295" s="22" t="s">
        <v>16</v>
      </c>
      <c r="F295" s="22" t="s">
        <v>17</v>
      </c>
      <c r="G295">
        <v>3.9</v>
      </c>
      <c r="H295" t="s">
        <v>342</v>
      </c>
      <c r="I295">
        <v>1.36</v>
      </c>
      <c r="J295" s="22" t="s">
        <v>31</v>
      </c>
      <c r="K295" s="22" t="s">
        <v>19</v>
      </c>
      <c r="L295" s="21">
        <v>45292</v>
      </c>
      <c r="M295">
        <v>1</v>
      </c>
      <c r="N295">
        <v>2024</v>
      </c>
      <c r="O295">
        <v>6</v>
      </c>
      <c r="P295">
        <v>25.935000000000002</v>
      </c>
    </row>
    <row r="296" spans="1:16" x14ac:dyDescent="0.25">
      <c r="A296">
        <v>160</v>
      </c>
      <c r="B296" s="21">
        <v>45299</v>
      </c>
      <c r="C296" t="s">
        <v>340</v>
      </c>
      <c r="D296" s="22" t="s">
        <v>136</v>
      </c>
      <c r="E296" s="22" t="s">
        <v>35</v>
      </c>
      <c r="F296" s="22" t="s">
        <v>137</v>
      </c>
      <c r="G296">
        <v>4.9000000000000004</v>
      </c>
      <c r="H296" t="s">
        <v>342</v>
      </c>
      <c r="I296">
        <v>0</v>
      </c>
      <c r="J296" s="22" t="s">
        <v>31</v>
      </c>
      <c r="K296" s="22" t="s">
        <v>32</v>
      </c>
      <c r="L296" s="21">
        <v>45292</v>
      </c>
      <c r="M296">
        <v>1</v>
      </c>
      <c r="N296">
        <v>2024</v>
      </c>
      <c r="O296">
        <v>18</v>
      </c>
      <c r="P296">
        <v>88.2</v>
      </c>
    </row>
    <row r="297" spans="1:16" x14ac:dyDescent="0.25">
      <c r="A297">
        <v>27</v>
      </c>
      <c r="B297" s="21">
        <v>45297</v>
      </c>
      <c r="C297" t="s">
        <v>340</v>
      </c>
      <c r="D297" s="22" t="s">
        <v>82</v>
      </c>
      <c r="E297" s="22" t="s">
        <v>35</v>
      </c>
      <c r="F297" s="22" t="s">
        <v>36</v>
      </c>
      <c r="G297">
        <v>14.9</v>
      </c>
      <c r="H297" t="s">
        <v>342</v>
      </c>
      <c r="I297">
        <v>0</v>
      </c>
      <c r="J297" s="22" t="s">
        <v>40</v>
      </c>
      <c r="K297" s="22" t="s">
        <v>26</v>
      </c>
      <c r="L297" s="21">
        <v>45292</v>
      </c>
      <c r="M297">
        <v>1</v>
      </c>
      <c r="N297">
        <v>2024</v>
      </c>
      <c r="O297">
        <v>24</v>
      </c>
      <c r="P297">
        <v>357.6</v>
      </c>
    </row>
    <row r="298" spans="1:16" x14ac:dyDescent="0.25">
      <c r="A298">
        <v>222</v>
      </c>
      <c r="B298" s="21">
        <v>45296</v>
      </c>
      <c r="C298" t="s">
        <v>340</v>
      </c>
      <c r="D298" s="22" t="s">
        <v>55</v>
      </c>
      <c r="E298" s="22" t="s">
        <v>56</v>
      </c>
      <c r="F298" s="22" t="s">
        <v>57</v>
      </c>
      <c r="G298">
        <v>22.9</v>
      </c>
      <c r="H298" t="s">
        <v>342</v>
      </c>
      <c r="I298">
        <v>0</v>
      </c>
      <c r="J298" s="22" t="s">
        <v>40</v>
      </c>
      <c r="K298" s="22" t="s">
        <v>26</v>
      </c>
      <c r="L298" s="21">
        <v>45292</v>
      </c>
      <c r="M298">
        <v>1</v>
      </c>
      <c r="N298">
        <v>2024</v>
      </c>
      <c r="O298">
        <v>29</v>
      </c>
      <c r="P298">
        <v>664.09999999999991</v>
      </c>
    </row>
    <row r="299" spans="1:16" x14ac:dyDescent="0.25">
      <c r="A299">
        <v>190</v>
      </c>
      <c r="B299" s="21">
        <v>45292</v>
      </c>
      <c r="C299" t="s">
        <v>340</v>
      </c>
      <c r="D299" s="22" t="s">
        <v>15</v>
      </c>
      <c r="E299" s="22" t="s">
        <v>16</v>
      </c>
      <c r="F299" s="22" t="s">
        <v>17</v>
      </c>
      <c r="G299">
        <v>3.9</v>
      </c>
      <c r="H299" t="s">
        <v>342</v>
      </c>
      <c r="I299">
        <v>10.92</v>
      </c>
      <c r="J299" s="22" t="s">
        <v>18</v>
      </c>
      <c r="K299" s="22" t="s">
        <v>19</v>
      </c>
      <c r="L299" s="21">
        <v>45292</v>
      </c>
      <c r="M299">
        <v>1</v>
      </c>
      <c r="N299">
        <v>2024</v>
      </c>
      <c r="O299">
        <v>25</v>
      </c>
      <c r="P299">
        <v>98.28</v>
      </c>
    </row>
    <row r="300" spans="1:16" x14ac:dyDescent="0.25">
      <c r="A300">
        <v>240</v>
      </c>
      <c r="B300" s="21">
        <v>45292</v>
      </c>
      <c r="C300" t="s">
        <v>338</v>
      </c>
      <c r="D300" s="22" t="s">
        <v>82</v>
      </c>
      <c r="E300" s="22" t="s">
        <v>35</v>
      </c>
      <c r="F300" s="22" t="s">
        <v>36</v>
      </c>
      <c r="G300">
        <v>14.9</v>
      </c>
      <c r="H300" t="s">
        <v>342</v>
      </c>
      <c r="I300">
        <v>0</v>
      </c>
      <c r="J300" s="22" t="s">
        <v>50</v>
      </c>
      <c r="K300" s="22" t="s">
        <v>19</v>
      </c>
      <c r="L300" s="21">
        <v>45474</v>
      </c>
      <c r="M300">
        <v>7</v>
      </c>
      <c r="N300">
        <v>2024</v>
      </c>
      <c r="O300">
        <v>24</v>
      </c>
      <c r="P300">
        <v>357.6</v>
      </c>
    </row>
    <row r="301" spans="1:16" x14ac:dyDescent="0.25">
      <c r="A301">
        <v>26</v>
      </c>
      <c r="B301" s="21">
        <v>45292</v>
      </c>
      <c r="C301" t="s">
        <v>338</v>
      </c>
      <c r="D301" s="22" t="s">
        <v>118</v>
      </c>
      <c r="E301" s="22" t="s">
        <v>16</v>
      </c>
      <c r="F301" s="22" t="s">
        <v>119</v>
      </c>
      <c r="G301">
        <v>2.5</v>
      </c>
      <c r="H301" t="s">
        <v>342</v>
      </c>
      <c r="I301">
        <v>3.75</v>
      </c>
      <c r="J301" s="22" t="s">
        <v>31</v>
      </c>
      <c r="K301" s="22" t="s">
        <v>26</v>
      </c>
      <c r="L301" s="21">
        <v>45474</v>
      </c>
      <c r="M301">
        <v>7</v>
      </c>
      <c r="N301">
        <v>2024</v>
      </c>
      <c r="O301">
        <v>13</v>
      </c>
      <c r="P301">
        <v>33.75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5"/>
  <sheetViews>
    <sheetView workbookViewId="0">
      <selection activeCell="D14" sqref="D14"/>
    </sheetView>
  </sheetViews>
  <sheetFormatPr defaultRowHeight="15" x14ac:dyDescent="0.25"/>
  <cols>
    <col min="1" max="1" width="22" customWidth="1"/>
    <col min="2" max="2" width="22" style="23" customWidth="1"/>
    <col min="3" max="5" width="22" customWidth="1"/>
    <col min="6" max="6" width="14.28515625" bestFit="1" customWidth="1"/>
    <col min="9" max="9" width="13.28515625" bestFit="1" customWidth="1"/>
  </cols>
  <sheetData>
    <row r="1" spans="1:9" ht="18" x14ac:dyDescent="0.25">
      <c r="A1" s="54" t="s">
        <v>320</v>
      </c>
      <c r="B1" s="54"/>
      <c r="C1" s="55"/>
      <c r="D1" s="55"/>
      <c r="E1" s="55"/>
    </row>
    <row r="2" spans="1:9" ht="24.95" customHeight="1" x14ac:dyDescent="0.25">
      <c r="A2" s="8" t="s">
        <v>321</v>
      </c>
      <c r="B2" s="8" t="s">
        <v>390</v>
      </c>
      <c r="C2" s="8" t="s">
        <v>322</v>
      </c>
      <c r="D2" s="8" t="s">
        <v>323</v>
      </c>
      <c r="E2" s="8" t="s">
        <v>324</v>
      </c>
      <c r="F2" s="38" t="s">
        <v>388</v>
      </c>
      <c r="H2" s="45" t="s">
        <v>321</v>
      </c>
      <c r="I2" s="45" t="s">
        <v>394</v>
      </c>
    </row>
    <row r="3" spans="1:9" x14ac:dyDescent="0.25">
      <c r="A3" s="9" t="s">
        <v>325</v>
      </c>
      <c r="B3" s="9">
        <v>1</v>
      </c>
      <c r="C3" s="3">
        <v>19199</v>
      </c>
      <c r="D3" s="3">
        <v>19144</v>
      </c>
      <c r="E3" s="3">
        <v>17138</v>
      </c>
      <c r="F3" s="39">
        <f>SUM(C3,D3,E3)</f>
        <v>55481</v>
      </c>
      <c r="H3" s="9">
        <v>1</v>
      </c>
      <c r="I3" s="44">
        <f>SUM(F3,G3,H3)</f>
        <v>55482</v>
      </c>
    </row>
    <row r="4" spans="1:9" x14ac:dyDescent="0.25">
      <c r="A4" s="9" t="s">
        <v>326</v>
      </c>
      <c r="B4" s="9">
        <v>2</v>
      </c>
      <c r="C4" s="3">
        <v>20096</v>
      </c>
      <c r="D4" s="3">
        <v>18047</v>
      </c>
      <c r="E4" s="3">
        <v>14589</v>
      </c>
      <c r="F4" s="39">
        <f t="shared" ref="F4:F14" si="0">SUM(C4,D4,E4)</f>
        <v>52732</v>
      </c>
      <c r="H4" s="9">
        <v>2</v>
      </c>
      <c r="I4" s="44">
        <f t="shared" ref="I4:I14" si="1">SUM(F4,G4,H4)</f>
        <v>52734</v>
      </c>
    </row>
    <row r="5" spans="1:9" x14ac:dyDescent="0.25">
      <c r="A5" s="9" t="s">
        <v>327</v>
      </c>
      <c r="B5" s="9">
        <v>3</v>
      </c>
      <c r="C5" s="3">
        <v>19616</v>
      </c>
      <c r="D5" s="3">
        <v>17800</v>
      </c>
      <c r="E5" s="3">
        <v>13236</v>
      </c>
      <c r="F5" s="39">
        <f t="shared" si="0"/>
        <v>50652</v>
      </c>
      <c r="H5" s="9">
        <v>3</v>
      </c>
      <c r="I5" s="44">
        <f t="shared" si="1"/>
        <v>50655</v>
      </c>
    </row>
    <row r="6" spans="1:9" x14ac:dyDescent="0.25">
      <c r="A6" s="9" t="s">
        <v>328</v>
      </c>
      <c r="B6" s="9">
        <v>4</v>
      </c>
      <c r="C6" s="3">
        <v>19421</v>
      </c>
      <c r="D6" s="3">
        <v>18618</v>
      </c>
      <c r="E6" s="3">
        <v>15602</v>
      </c>
      <c r="F6" s="39">
        <f t="shared" si="0"/>
        <v>53641</v>
      </c>
      <c r="H6" s="9">
        <v>4</v>
      </c>
      <c r="I6" s="44">
        <f t="shared" si="1"/>
        <v>53645</v>
      </c>
    </row>
    <row r="7" spans="1:9" x14ac:dyDescent="0.25">
      <c r="A7" s="9" t="s">
        <v>329</v>
      </c>
      <c r="B7" s="9">
        <v>5</v>
      </c>
      <c r="C7" s="3">
        <v>22934</v>
      </c>
      <c r="D7" s="3">
        <v>18747</v>
      </c>
      <c r="E7" s="3">
        <v>12559</v>
      </c>
      <c r="F7" s="39">
        <f t="shared" si="0"/>
        <v>54240</v>
      </c>
      <c r="H7" s="9">
        <v>5</v>
      </c>
      <c r="I7" s="44">
        <f t="shared" si="1"/>
        <v>54245</v>
      </c>
    </row>
    <row r="8" spans="1:9" x14ac:dyDescent="0.25">
      <c r="A8" s="9" t="s">
        <v>330</v>
      </c>
      <c r="B8" s="9">
        <v>6</v>
      </c>
      <c r="C8" s="3">
        <v>19252</v>
      </c>
      <c r="D8" s="3">
        <v>17677</v>
      </c>
      <c r="E8" s="3">
        <v>15841</v>
      </c>
      <c r="F8" s="39">
        <f t="shared" si="0"/>
        <v>52770</v>
      </c>
      <c r="H8" s="9">
        <v>6</v>
      </c>
      <c r="I8" s="44">
        <f t="shared" si="1"/>
        <v>52776</v>
      </c>
    </row>
    <row r="9" spans="1:9" x14ac:dyDescent="0.25">
      <c r="A9" s="9" t="s">
        <v>331</v>
      </c>
      <c r="B9" s="9">
        <v>7</v>
      </c>
      <c r="C9" s="3">
        <v>24227</v>
      </c>
      <c r="D9" s="3">
        <v>19579</v>
      </c>
      <c r="E9" s="3">
        <v>15622</v>
      </c>
      <c r="F9" s="39">
        <f t="shared" si="0"/>
        <v>59428</v>
      </c>
      <c r="H9" s="9">
        <v>7</v>
      </c>
      <c r="I9" s="44">
        <f t="shared" si="1"/>
        <v>59435</v>
      </c>
    </row>
    <row r="10" spans="1:9" x14ac:dyDescent="0.25">
      <c r="A10" s="9" t="s">
        <v>332</v>
      </c>
      <c r="B10" s="9">
        <v>8</v>
      </c>
      <c r="C10" s="3">
        <v>24218</v>
      </c>
      <c r="D10" s="3">
        <v>18624</v>
      </c>
      <c r="E10" s="3">
        <v>17172</v>
      </c>
      <c r="F10" s="39">
        <f t="shared" si="0"/>
        <v>60014</v>
      </c>
      <c r="H10" s="9">
        <v>8</v>
      </c>
      <c r="I10" s="44">
        <f t="shared" si="1"/>
        <v>60022</v>
      </c>
    </row>
    <row r="11" spans="1:9" x14ac:dyDescent="0.25">
      <c r="A11" s="9" t="s">
        <v>333</v>
      </c>
      <c r="B11" s="9">
        <v>9</v>
      </c>
      <c r="C11" s="3">
        <v>23369</v>
      </c>
      <c r="D11" s="3">
        <v>19267</v>
      </c>
      <c r="E11" s="3">
        <v>14480</v>
      </c>
      <c r="F11" s="39">
        <f t="shared" si="0"/>
        <v>57116</v>
      </c>
      <c r="H11" s="9">
        <v>9</v>
      </c>
      <c r="I11" s="44">
        <f t="shared" si="1"/>
        <v>57125</v>
      </c>
    </row>
    <row r="12" spans="1:9" x14ac:dyDescent="0.25">
      <c r="A12" s="9" t="s">
        <v>334</v>
      </c>
      <c r="B12" s="9">
        <v>10</v>
      </c>
      <c r="C12" s="3">
        <v>18617</v>
      </c>
      <c r="D12" s="3">
        <v>19204</v>
      </c>
      <c r="E12" s="3">
        <v>14250</v>
      </c>
      <c r="F12" s="39">
        <f t="shared" si="0"/>
        <v>52071</v>
      </c>
      <c r="H12" s="9">
        <v>10</v>
      </c>
      <c r="I12" s="44">
        <f t="shared" si="1"/>
        <v>52081</v>
      </c>
    </row>
    <row r="13" spans="1:9" x14ac:dyDescent="0.25">
      <c r="A13" s="9" t="s">
        <v>335</v>
      </c>
      <c r="B13" s="9">
        <v>11</v>
      </c>
      <c r="C13" s="3">
        <v>19451</v>
      </c>
      <c r="D13" s="3">
        <v>19116</v>
      </c>
      <c r="E13" s="3">
        <v>16844</v>
      </c>
      <c r="F13" s="39">
        <f t="shared" si="0"/>
        <v>55411</v>
      </c>
      <c r="H13" s="9">
        <v>11</v>
      </c>
      <c r="I13" s="44">
        <f t="shared" si="1"/>
        <v>55422</v>
      </c>
    </row>
    <row r="14" spans="1:9" x14ac:dyDescent="0.25">
      <c r="A14" s="9" t="s">
        <v>336</v>
      </c>
      <c r="B14" s="9">
        <v>12</v>
      </c>
      <c r="C14" s="3">
        <v>24331</v>
      </c>
      <c r="D14" s="3">
        <v>16647</v>
      </c>
      <c r="E14" s="3">
        <v>12460</v>
      </c>
      <c r="F14" s="39">
        <f t="shared" si="0"/>
        <v>53438</v>
      </c>
      <c r="H14" s="9">
        <v>12</v>
      </c>
      <c r="I14" s="44">
        <f t="shared" si="1"/>
        <v>53450</v>
      </c>
    </row>
    <row r="15" spans="1:9" x14ac:dyDescent="0.25">
      <c r="A15" s="36" t="s">
        <v>388</v>
      </c>
      <c r="B15" s="36"/>
      <c r="C15" s="37">
        <f>SUM(C3:C14)</f>
        <v>254731</v>
      </c>
      <c r="D15" s="37">
        <f>SUM(D3:D14)</f>
        <v>222470</v>
      </c>
      <c r="E15" s="37">
        <f>SUM(E3:E14)</f>
        <v>179793</v>
      </c>
      <c r="F15" s="40">
        <f>C15+D15+E15</f>
        <v>656994</v>
      </c>
    </row>
  </sheetData>
  <mergeCells count="1">
    <mergeCell ref="A1:E1"/>
  </mergeCells>
  <pageMargins left="0.75" right="0.75" top="1" bottom="1" header="0.5" footer="0.5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xr2:uid="{162C5626-86F7-4554-BB7B-2A9E9F8F8B3B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Metas_2024!A2:A2</xm:f>
              <xm:sqref>A2</xm:sqref>
            </x14:sparkline>
            <x14:sparkline>
              <xm:f>Metas_2024!B2:B2</xm:f>
              <xm:sqref>B2</xm:sqref>
            </x14:sparkline>
          </x14:sparklines>
        </x14:sparklineGroup>
      </x14:sparklineGroup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140EABB-DEF8-4100-9C96-37AED5C6E5F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10</vt:i4>
      </vt:variant>
    </vt:vector>
  </HeadingPairs>
  <TitlesOfParts>
    <vt:vector size="10" baseType="lpstr">
      <vt:lpstr>Venda x meta</vt:lpstr>
      <vt:lpstr>Desconto</vt:lpstr>
      <vt:lpstr>Top 20 itens</vt:lpstr>
      <vt:lpstr>Categoria</vt:lpstr>
      <vt:lpstr>Vendedores</vt:lpstr>
      <vt:lpstr>Loja</vt:lpstr>
      <vt:lpstr>Venda por vendedor</vt:lpstr>
      <vt:lpstr>Dados brutos</vt:lpstr>
      <vt:lpstr>Dados limpos</vt:lpstr>
      <vt:lpstr>Metas_2024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Caio Souza</cp:lastModifiedBy>
  <dcterms:created xsi:type="dcterms:W3CDTF">2026-03-31T12:30:51Z</dcterms:created>
  <dcterms:modified xsi:type="dcterms:W3CDTF">2026-04-14T13:14:04Z</dcterms:modified>
</cp:coreProperties>
</file>